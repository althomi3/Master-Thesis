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xr:revisionPtr revIDLastSave="0" documentId="8_{753A4A99-8930-4DDB-8607-2D0D647A6E13}" xr6:coauthVersionLast="47" xr6:coauthVersionMax="47" xr10:uidLastSave="{00000000-0000-0000-0000-000000000000}"/>
  <bookViews>
    <workbookView xWindow="240" yWindow="105" windowWidth="14805" windowHeight="8010" firstSheet="1" activeTab="2" xr2:uid="{00000000-000D-0000-FFFF-FFFF00000000}"/>
  </bookViews>
  <sheets>
    <sheet name="Welcome!" sheetId="4" r:id="rId1"/>
    <sheet name="Raw Data" sheetId="7" r:id="rId2"/>
    <sheet name="Cleaned Data for Python Script"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7" l="1"/>
  <c r="L18" i="7"/>
  <c r="K18" i="7"/>
  <c r="J18" i="7"/>
  <c r="I18" i="7"/>
  <c r="H18" i="7"/>
  <c r="G18" i="7"/>
  <c r="M12" i="7"/>
  <c r="L12" i="7"/>
  <c r="K12" i="7"/>
  <c r="J12" i="7"/>
  <c r="I12" i="7"/>
  <c r="H12" i="7"/>
  <c r="G12" i="7"/>
  <c r="B12" i="6"/>
  <c r="H12" i="6"/>
  <c r="G12" i="6"/>
  <c r="F12" i="6"/>
  <c r="E12" i="6"/>
  <c r="D12" i="6"/>
  <c r="C12" i="6"/>
  <c r="H7" i="6"/>
  <c r="G7" i="6"/>
  <c r="F7" i="6"/>
  <c r="E7" i="6"/>
  <c r="D7" i="6"/>
  <c r="C7" i="6"/>
  <c r="B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Alischa Thomas</author>
    <author>tc={01B35588-F022-43E0-9CDF-E0311388005A}</author>
  </authors>
  <commentList>
    <comment ref="I9" authorId="0" shapeId="0" xr:uid="{A6C43636-23FD-474A-A0CE-64406009DDCF}">
      <text>
        <r>
          <rPr>
            <sz val="11"/>
            <color theme="1"/>
            <rFont val="Aptos Narrow"/>
            <family val="2"/>
            <scheme val="minor"/>
          </rPr>
          <t>Alischa Thomas:
Participant first reported 240 min incl. foot walk. After asking, participant double checked and noted its 240 min which is out of the max tolerance range. Participant added: would only take the trip if the office could be left earlier as usual on a Friday.</t>
        </r>
      </text>
    </comment>
    <comment ref="B19" authorId="0" shapeId="0" xr:uid="{4FE94AE4-4C7C-4176-B5DD-5B31DAE6BA3A}">
      <text>
        <r>
          <rPr>
            <sz val="11"/>
            <color theme="1"/>
            <rFont val="Aptos Narrow"/>
            <family val="2"/>
            <scheme val="minor"/>
          </rPr>
          <t>Alischa Thomas:
Web Apps, Search Engines, Websites</t>
        </r>
      </text>
    </comment>
    <comment ref="L19" authorId="1" shapeId="0" xr:uid="{01B35588-F022-43E0-9CDF-E0311388005A}">
      <text>
        <t>[Threaded comment]
Your version of Excel allows you to read this threaded comment; however, any edits to it will get removed if the file is opened in a newer version of Excel. Learn more: https://go.microsoft.com/fwlink/?linkid=870924
Comment:
    User used browser which would increase the number to 4. But since the user specifically used the browser to open the hotel website in a targeted way, it is not counted as a separate tool.</t>
      </text>
    </comment>
    <comment ref="B21" authorId="0" shapeId="0" xr:uid="{8E9E9AC3-7A7E-443D-A62A-EF4AD090C713}">
      <text>
        <r>
          <rPr>
            <sz val="11"/>
            <color theme="1"/>
            <rFont val="Aptos Narrow"/>
            <family val="2"/>
            <scheme val="minor"/>
          </rPr>
          <t>Alischa Thomas:
Structured: the search was intentionaly, the searcher looked for specific information to get to the goal as quick as possible
Chaotic: the search process was more explorative, the searcher needed to find out how to search during the process</t>
        </r>
      </text>
    </comment>
  </commentList>
</comments>
</file>

<file path=xl/sharedStrings.xml><?xml version="1.0" encoding="utf-8"?>
<sst xmlns="http://schemas.openxmlformats.org/spreadsheetml/2006/main" count="248" uniqueCount="139">
  <si>
    <t xml:space="preserve">
Welcome! 
</t>
  </si>
  <si>
    <r>
      <rPr>
        <sz val="11"/>
        <color rgb="FF000000"/>
        <rFont val="Aptos Narrow"/>
        <scheme val="minor"/>
      </rPr>
      <t xml:space="preserve">
In this file you find the raw data for the
 </t>
    </r>
    <r>
      <rPr>
        <b/>
        <sz val="11"/>
        <color rgb="FF000000"/>
        <rFont val="Aptos Narrow"/>
        <scheme val="minor"/>
      </rPr>
      <t>participant's task performance</t>
    </r>
    <r>
      <rPr>
        <sz val="11"/>
        <color rgb="FF000000"/>
        <rFont val="Aptos Narrow"/>
        <scheme val="minor"/>
      </rPr>
      <t xml:space="preserve"> from the user test session. 
The participant's task was to find a nature-based accommodation for a short trip that's reachable via public transport.
For more info about the dimension of task performance and included variables, please review the written thesis document.</t>
    </r>
  </si>
  <si>
    <t xml:space="preserve">
Sheet 1: Raw Data</t>
  </si>
  <si>
    <t xml:space="preserve">
The first sheet contains the raw data that were extracted from the video material, transcript, and survey responses of the test sessions including the post-task interview.</t>
  </si>
  <si>
    <t xml:space="preserve">
Sheet 2: Cleaned Data for Python Script</t>
  </si>
  <si>
    <t xml:space="preserve">
The second sheet contains the filtered and cleaned data which is required for further analysis with Python.</t>
  </si>
  <si>
    <t>ID</t>
  </si>
  <si>
    <t>Variables Name</t>
  </si>
  <si>
    <t>Data Type</t>
  </si>
  <si>
    <t>Example</t>
  </si>
  <si>
    <t>Used for</t>
  </si>
  <si>
    <t>Source</t>
  </si>
  <si>
    <t>P1</t>
  </si>
  <si>
    <t>P2</t>
  </si>
  <si>
    <t>P3</t>
  </si>
  <si>
    <t>P4</t>
  </si>
  <si>
    <t>P5</t>
  </si>
  <si>
    <t>P6</t>
  </si>
  <si>
    <t>P7</t>
  </si>
  <si>
    <t>3.1.</t>
  </si>
  <si>
    <t>Task Success</t>
  </si>
  <si>
    <t>3.1.1.</t>
  </si>
  <si>
    <t>Task solved</t>
  </si>
  <si>
    <t>Bool</t>
  </si>
  <si>
    <t>Y/N</t>
  </si>
  <si>
    <t>Task performance</t>
  </si>
  <si>
    <t>Video and Audio</t>
  </si>
  <si>
    <t>Y</t>
  </si>
  <si>
    <t>N</t>
  </si>
  <si>
    <t>3.2.</t>
  </si>
  <si>
    <t>Category 2: Task Solution Quality</t>
  </si>
  <si>
    <t>3.2.1.</t>
  </si>
  <si>
    <t>Generic min travel tolernace in min</t>
  </si>
  <si>
    <t>Int</t>
  </si>
  <si>
    <t>Reachability Analysis</t>
  </si>
  <si>
    <t>Audio</t>
  </si>
  <si>
    <t>3.2.2.</t>
  </si>
  <si>
    <t>Generic max travel tolernace in min</t>
  </si>
  <si>
    <t>180 + 60 min additional footwalk if the trail is enjoyable or leads into the mountain to an accommodation with a view</t>
  </si>
  <si>
    <t>3.2.3.</t>
  </si>
  <si>
    <t>Expected travel time for the trip</t>
  </si>
  <si>
    <t>3.2.4.</t>
  </si>
  <si>
    <t>Optimal preferred travel time general</t>
  </si>
  <si>
    <t>NA</t>
  </si>
  <si>
    <t>120 + footwalk</t>
  </si>
  <si>
    <t>3.2.5.</t>
  </si>
  <si>
    <t>Actual travel time trip from checked by researcher after test</t>
  </si>
  <si>
    <t>Google Maps</t>
  </si>
  <si>
    <t>3.2.6.</t>
  </si>
  <si>
    <t>Delta of expected travel time trip - actual travel time trip</t>
  </si>
  <si>
    <t>Float (%)</t>
  </si>
  <si>
    <t>Calculated</t>
  </si>
  <si>
    <t>3.2.7.</t>
  </si>
  <si>
    <t>Route type</t>
  </si>
  <si>
    <t>String</t>
  </si>
  <si>
    <t>Educated guess or researched value</t>
  </si>
  <si>
    <t>Video</t>
  </si>
  <si>
    <t>Street-to-train station</t>
  </si>
  <si>
    <t>City district-to-address</t>
  </si>
  <si>
    <t>City-to-address</t>
  </si>
  <si>
    <t>Station-to-station</t>
  </si>
  <si>
    <t>City-to-village</t>
  </si>
  <si>
    <t>3.3.</t>
  </si>
  <si>
    <t>Category 3: Task Difficulty</t>
  </si>
  <si>
    <t>3.3.1.</t>
  </si>
  <si>
    <t>Task start</t>
  </si>
  <si>
    <t>Time in min.sec</t>
  </si>
  <si>
    <t>3.3.2.</t>
  </si>
  <si>
    <t>Task goal reached</t>
  </si>
  <si>
    <t>3.3.3.</t>
  </si>
  <si>
    <t>Time needed to reach task goal</t>
  </si>
  <si>
    <t>Calculated (End time - start time)</t>
  </si>
  <si>
    <t>3.3.4.</t>
  </si>
  <si>
    <t>Platform count (incl. Booking)</t>
  </si>
  <si>
    <t>3.3.5.</t>
  </si>
  <si>
    <t>SMEQ Results</t>
  </si>
  <si>
    <t>SMEQ Scale</t>
  </si>
  <si>
    <t>32 
(between A bit hard to do and Fairly hard to do)</t>
  </si>
  <si>
    <t>85 
(Very hard to do)</t>
  </si>
  <si>
    <t>25 
(A bit hard to do)</t>
  </si>
  <si>
    <t>38 
(Fairly hard to do)</t>
  </si>
  <si>
    <t>30 
(between A bit hard to do and Fairly hard to do)</t>
  </si>
  <si>
    <t>57 
(Rather hard to do)</t>
  </si>
  <si>
    <t>3.3.6.</t>
  </si>
  <si>
    <t>Cognitive process type</t>
  </si>
  <si>
    <t>Enum</t>
  </si>
  <si>
    <t>Explorer</t>
  </si>
  <si>
    <t>Schematic</t>
  </si>
  <si>
    <t>Search-process-based</t>
  </si>
  <si>
    <t>3.0.</t>
  </si>
  <si>
    <t>Background Variables</t>
  </si>
  <si>
    <t>0.1.</t>
  </si>
  <si>
    <t>Accomodation link</t>
  </si>
  <si>
    <t>Link</t>
  </si>
  <si>
    <t>/</t>
  </si>
  <si>
    <t>Reproduction of finding</t>
  </si>
  <si>
    <t>0.2.</t>
  </si>
  <si>
    <t>Name of accommodation</t>
  </si>
  <si>
    <t>Best Hotel in Kurpfalz</t>
  </si>
  <si>
    <t>Kurhotel Renona Rehabilitation</t>
  </si>
  <si>
    <t>Apartmán Alenka HUDEČCI LOUKA</t>
  </si>
  <si>
    <t>Pension Schöne Aussicht</t>
  </si>
  <si>
    <t>Ridehouse</t>
  </si>
  <si>
    <t>Thermenhotel PuchasPLUS Stegersbach</t>
  </si>
  <si>
    <t>VitalZeit Hotel Weber</t>
  </si>
  <si>
    <t>Apartment Seebachhof</t>
  </si>
  <si>
    <t>0.3.</t>
  </si>
  <si>
    <t>Search parameter: Travel start date</t>
  </si>
  <si>
    <t>Date</t>
  </si>
  <si>
    <t>7.11.2025</t>
  </si>
  <si>
    <t>31.10.2025</t>
  </si>
  <si>
    <t>0.4.</t>
  </si>
  <si>
    <t>Search parameter: Travel end date</t>
  </si>
  <si>
    <t>09.11.2025</t>
  </si>
  <si>
    <t>02.11.2025</t>
  </si>
  <si>
    <t>0.5.</t>
  </si>
  <si>
    <t>Address of Selected Accommodation</t>
  </si>
  <si>
    <t>Kaiserstraße 2-4, 07. Neubau, 1070 Vienna, Austria</t>
  </si>
  <si>
    <t>105 Semmering, 2680 Semmering, Austria</t>
  </si>
  <si>
    <t>Bundesstraße 13, 8630 Mariazell, Austria</t>
  </si>
  <si>
    <t>Gasteig 2, 5431 Kuchl, Austria</t>
  </si>
  <si>
    <t>Obere Klaus 47, 8970 Schladming, Austria</t>
  </si>
  <si>
    <t>Thermenstraße 16, 7551 Stegersbach, Austria</t>
  </si>
  <si>
    <t>Kurhausstraße 16, 2853 Bad Schönau, Austria</t>
  </si>
  <si>
    <t>Schweizersberg 37, 4575 Edlbach, Austria</t>
  </si>
  <si>
    <t>Notes</t>
  </si>
  <si>
    <t>Qualitative comments</t>
  </si>
  <si>
    <t>P compared generic reachability of accommodation village "Semmering Bahnhof" by public transport but did not check reachability of specific accommodation addres. But, visually compared the location of accommodation on map on Booking.com with public transport route to village on Google Maps.
User found accomodation randomly by exploring through the map during the search process</t>
  </si>
  <si>
    <t>User self-reported he/she/them would have terminated the search process in a private setting because it was too complex to find a destination and accommodation reachable without a private car. Eventually, P2 decided for a destination under the condition to borrow a car from private contact.P2 selected a fallback destination for public transport which would probably be too expensive in combination with train tickets. For the analysis, the fallback destination is considered.
P derived the travel time from routing to specific apartment address via Google Maps and searching the train connection via ÖBB.
Plus, the participant required more assistance to get to a final conclusion and would probably not have been able to finish the task in a private setting. 
Participant would also be open for car sharing if public would be too much effort.</t>
  </si>
  <si>
    <t>Derived time by summing up multiple routes in Google Maps manually. There was no available route from Vienna to the accommodation's address. But, there was a footwalk route from the destination's nearby station which was in the preferred scope of the participant. In addition, there was a train connection available to that station. Both were only visible in separate route search requests. Double checks public connection time with ÖBB.
The participant reports a longer search process in a private setting. Reason is that the participant would have repeated the search to be able to compare multiple options for own certainty.</t>
  </si>
  <si>
    <t>Derives the trip travel time by summing up the connection time from ÖBB train + local transport to the main train station. Does not calculate the route to the specific address but only the village in Google Maps and searches tickets not to address but to village. Just derives reachability of address visually from the Booking.com map.
Participant does not enjoy searching for trips and accommodations in private and likes to join others.
Travel journey is perceived as a part of the trip. Therefore, the participant is more tolerant for a longer travel time if it's a comfortable travel mode such as train. Less tolerant for bus travels.
Overall, the travel time and time at the destination must be in balance. If travel time too long, participant would consider extending the stay to balance it. Travel towards destination is more important than return travel.</t>
  </si>
  <si>
    <t>Derives trip time from connection from ÖBB. Checks station to station, not address to address.
No route found via Google Maps. But connections found through ÖBB Scotty.</t>
  </si>
  <si>
    <t>Derives trip time from connection from ÖBB. Checks from the city Vienna to exact address.
No route found via Google Maps. But connections found through ÖBB Scotty.
P used the browser which would increase the platform amount to 4. But, since the user specifically used the browser to open the hotel website in a targeted way, it is not counted as a separate tool.</t>
  </si>
  <si>
    <t>Derives trip time from Google Maps: Location to location: Wien - Edlbach.
Participant did not have a thorough understanding of the reachability of the destination by train and the reachability at the destination. In the followup interview, the participant was more in a theoretical guessing mode. Participant would also be open for car sharing if public would be too much effort. Participant was vague about preferred minimum and maximum travel time for short trips.</t>
  </si>
  <si>
    <t>ﬁ</t>
  </si>
  <si>
    <t>Variable</t>
  </si>
  <si>
    <t>T</t>
  </si>
  <si>
    <t>F</t>
  </si>
  <si>
    <t>Actual travel time trip (checked by researcher after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</si>
</sst>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9">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sz val="12"/>
      <color theme="1"/>
      <name val="Aptos Narrow"/>
      <family val="2"/>
      <scheme val="minor"/>
    </font>
    <font>
      <b/>
      <sz val="12"/>
      <color theme="1"/>
      <name val="Aptos Narrow"/>
      <family val="2"/>
      <scheme val="minor"/>
    </font>
    <font>
      <b/>
      <u val="double"/>
      <sz val="14"/>
      <color theme="1"/>
      <name val="Aptos Narrow"/>
      <family val="2"/>
      <scheme val="minor"/>
    </font>
    <font>
      <b/>
      <sz val="16"/>
      <color theme="0"/>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rgb="FFFFCAFF"/>
        <bgColor indexed="64"/>
      </patternFill>
    </fill>
    <fill>
      <patternFill patternType="solid">
        <fgColor theme="1"/>
        <bgColor indexed="64"/>
      </patternFill>
    </fill>
    <fill>
      <patternFill patternType="solid">
        <fgColor rgb="FFDAF2DE"/>
        <bgColor indexed="64"/>
      </patternFill>
    </fill>
  </fills>
  <borders count="18">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88">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indent="1"/>
    </xf>
    <xf numFmtId="0" fontId="0" fillId="0" borderId="0" xfId="0" applyBorder="1" applyAlignment="1">
      <alignment vertical="top"/>
    </xf>
    <xf numFmtId="0" fontId="0" fillId="0" borderId="0" xfId="0" applyBorder="1" applyAlignment="1">
      <alignment horizontal="left" vertical="center"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6" fillId="0" borderId="4" xfId="0" applyFont="1" applyBorder="1" applyAlignment="1">
      <alignment horizontal="left" vertical="top" wrapText="1" indent="1"/>
    </xf>
    <xf numFmtId="0" fontId="6" fillId="0" borderId="5" xfId="0" applyFont="1" applyBorder="1" applyAlignment="1">
      <alignment horizontal="left" vertical="top" wrapText="1" indent="1"/>
    </xf>
    <xf numFmtId="0" fontId="0" fillId="0" borderId="0" xfId="0" applyAlignment="1">
      <alignment horizontal="left" vertical="top" indent="1"/>
    </xf>
    <xf numFmtId="0" fontId="0" fillId="5" borderId="1" xfId="0" applyFont="1" applyFill="1" applyBorder="1" applyAlignment="1">
      <alignment horizontal="left" vertical="top" indent="1"/>
    </xf>
    <xf numFmtId="0" fontId="0" fillId="0" borderId="1" xfId="0" applyFont="1" applyFill="1" applyBorder="1" applyAlignment="1">
      <alignment horizontal="left" vertical="top" indent="1"/>
    </xf>
    <xf numFmtId="0" fontId="0" fillId="0" borderId="1" xfId="0" applyFont="1" applyBorder="1" applyAlignment="1">
      <alignment horizontal="left" vertical="top" wrapText="1" indent="1"/>
    </xf>
    <xf numFmtId="0" fontId="0" fillId="5" borderId="2" xfId="0" applyFill="1" applyBorder="1" applyAlignment="1">
      <alignment horizontal="left" vertical="top" indent="1"/>
    </xf>
    <xf numFmtId="0" fontId="0" fillId="0" borderId="2" xfId="0" applyBorder="1" applyAlignment="1">
      <alignment horizontal="left" vertical="top" indent="1"/>
    </xf>
    <xf numFmtId="0" fontId="0" fillId="0" borderId="2" xfId="0" applyBorder="1" applyAlignment="1">
      <alignment horizontal="left" vertical="top" wrapText="1" indent="1"/>
    </xf>
    <xf numFmtId="0" fontId="0" fillId="5" borderId="2" xfId="0" applyFill="1" applyBorder="1" applyAlignment="1">
      <alignment horizontal="left" vertical="top" wrapText="1" indent="1"/>
    </xf>
    <xf numFmtId="164" fontId="0" fillId="0" borderId="2" xfId="0" applyNumberFormat="1" applyBorder="1" applyAlignment="1">
      <alignment horizontal="left" vertical="top" indent="1"/>
    </xf>
    <xf numFmtId="0" fontId="0" fillId="5" borderId="3" xfId="0" applyFill="1" applyBorder="1" applyAlignment="1">
      <alignment horizontal="left" vertical="top" indent="1"/>
    </xf>
    <xf numFmtId="0" fontId="0" fillId="2" borderId="0" xfId="0" applyFill="1" applyBorder="1" applyAlignment="1">
      <alignment horizontal="left" vertical="top" wrapText="1" indent="1"/>
    </xf>
    <xf numFmtId="20" fontId="0" fillId="2" borderId="0" xfId="0" applyNumberFormat="1" applyFill="1" applyBorder="1" applyAlignment="1">
      <alignment horizontal="left" vertical="top" wrapText="1" indent="1"/>
    </xf>
    <xf numFmtId="0" fontId="0" fillId="2" borderId="0" xfId="0" applyFill="1" applyBorder="1" applyAlignment="1">
      <alignment vertical="top" wrapText="1" indent="1"/>
    </xf>
    <xf numFmtId="0" fontId="0" fillId="0" borderId="0" xfId="0" applyFont="1" applyBorder="1" applyAlignment="1">
      <alignment vertical="top" wrapText="1" indent="1"/>
    </xf>
    <xf numFmtId="0" fontId="0" fillId="0" borderId="0" xfId="0" applyBorder="1" applyAlignment="1">
      <alignment vertical="top" wrapText="1" indent="1"/>
    </xf>
    <xf numFmtId="0" fontId="0" fillId="0" borderId="0" xfId="0" applyFill="1" applyBorder="1" applyAlignment="1">
      <alignment horizontal="left" vertical="top" wrapText="1" indent="2"/>
    </xf>
    <xf numFmtId="20" fontId="0" fillId="0" borderId="0" xfId="0" applyNumberFormat="1" applyFill="1" applyBorder="1" applyAlignment="1">
      <alignment horizontal="left" vertical="top" wrapText="1" indent="2"/>
    </xf>
    <xf numFmtId="0" fontId="0" fillId="0" borderId="0" xfId="0" applyFont="1" applyFill="1" applyBorder="1" applyAlignment="1">
      <alignment horizontal="left" vertical="top" wrapText="1" indent="2"/>
    </xf>
    <xf numFmtId="0" fontId="0" fillId="0" borderId="0" xfId="0" applyFill="1" applyAlignment="1">
      <alignment horizontal="left" vertical="top" wrapText="1" indent="2"/>
    </xf>
    <xf numFmtId="0" fontId="0" fillId="2" borderId="0" xfId="0" applyFont="1" applyFill="1" applyBorder="1" applyAlignment="1">
      <alignment horizontal="left" vertical="top" wrapText="1" indent="1"/>
    </xf>
    <xf numFmtId="0" fontId="0" fillId="0" borderId="0" xfId="0" applyFont="1" applyBorder="1" applyAlignment="1">
      <alignment horizontal="left" vertical="top" wrapText="1" indent="1"/>
    </xf>
    <xf numFmtId="20" fontId="0" fillId="0" borderId="0" xfId="0" applyNumberFormat="1" applyFont="1" applyFill="1" applyBorder="1" applyAlignment="1">
      <alignment horizontal="left" vertical="top" wrapText="1" indent="2"/>
    </xf>
    <xf numFmtId="0" fontId="4" fillId="0" borderId="0" xfId="0" applyFont="1" applyFill="1" applyBorder="1" applyAlignment="1">
      <alignment horizontal="left" vertical="top" wrapText="1" indent="2"/>
    </xf>
    <xf numFmtId="0" fontId="1" fillId="0" borderId="0" xfId="1" applyBorder="1" applyAlignment="1">
      <alignment horizontal="left" vertical="top" wrapText="1" indent="1"/>
    </xf>
    <xf numFmtId="0" fontId="0" fillId="0" borderId="0" xfId="0" applyFill="1" applyBorder="1" applyAlignment="1">
      <alignment horizontal="left" vertical="top" wrapText="1" indent="1"/>
    </xf>
    <xf numFmtId="0" fontId="0" fillId="0" borderId="0" xfId="0" applyFont="1" applyFill="1" applyBorder="1" applyAlignment="1">
      <alignment horizontal="left" vertical="top" wrapText="1" indent="1"/>
    </xf>
    <xf numFmtId="0" fontId="0" fillId="0" borderId="0" xfId="0" applyBorder="1" applyAlignment="1">
      <alignment horizontal="left" vertical="top" wrapText="1" indent="1"/>
    </xf>
    <xf numFmtId="0" fontId="2" fillId="0" borderId="0" xfId="0" applyFont="1" applyFill="1" applyBorder="1" applyAlignment="1">
      <alignment horizontal="left" vertical="top" wrapText="1" indent="1"/>
    </xf>
    <xf numFmtId="20" fontId="2" fillId="0" borderId="0" xfId="0" applyNumberFormat="1" applyFont="1" applyFill="1" applyBorder="1" applyAlignment="1">
      <alignment horizontal="left" vertical="top" wrapText="1" indent="1"/>
    </xf>
    <xf numFmtId="0" fontId="0" fillId="0" borderId="14" xfId="0" applyFill="1" applyBorder="1" applyAlignment="1">
      <alignment horizontal="left" vertical="top" wrapText="1" indent="2"/>
    </xf>
    <xf numFmtId="0" fontId="4" fillId="0" borderId="15" xfId="0" applyFont="1" applyFill="1" applyBorder="1" applyAlignment="1">
      <alignment horizontal="left" vertical="top" wrapText="1" indent="2"/>
    </xf>
    <xf numFmtId="0" fontId="0" fillId="2" borderId="12" xfId="0" applyFill="1" applyBorder="1" applyAlignment="1">
      <alignment horizontal="left" vertical="top" wrapText="1" indent="1"/>
    </xf>
    <xf numFmtId="20" fontId="0" fillId="2" borderId="12" xfId="0" applyNumberFormat="1" applyFill="1" applyBorder="1" applyAlignment="1">
      <alignment horizontal="left" vertical="top" wrapText="1" indent="1"/>
    </xf>
    <xf numFmtId="0" fontId="3" fillId="0" borderId="0" xfId="0" applyFont="1" applyBorder="1" applyAlignment="1">
      <alignment horizontal="left" vertical="top" wrapText="1" indent="1"/>
    </xf>
    <xf numFmtId="0" fontId="3" fillId="0" borderId="15" xfId="0" applyFont="1" applyBorder="1" applyAlignment="1">
      <alignment horizontal="left" vertical="top" wrapText="1" indent="1"/>
    </xf>
    <xf numFmtId="0" fontId="8" fillId="4" borderId="0" xfId="0" applyFont="1" applyFill="1" applyBorder="1" applyAlignment="1">
      <alignment horizontal="left" vertical="top" wrapText="1" indent="1"/>
    </xf>
    <xf numFmtId="0" fontId="5" fillId="5" borderId="0" xfId="0" applyFont="1" applyFill="1" applyBorder="1" applyAlignment="1">
      <alignment horizontal="left" vertical="top" wrapText="1" indent="1"/>
    </xf>
    <xf numFmtId="0" fontId="5" fillId="5" borderId="12" xfId="0" applyFont="1" applyFill="1" applyBorder="1" applyAlignment="1">
      <alignment horizontal="left" vertical="top" wrapText="1" indent="1"/>
    </xf>
    <xf numFmtId="20" fontId="0" fillId="0" borderId="0" xfId="0" applyNumberFormat="1" applyFill="1" applyBorder="1" applyAlignment="1">
      <alignment horizontal="left" vertical="top" wrapText="1" indent="1"/>
    </xf>
    <xf numFmtId="0" fontId="2" fillId="3" borderId="0" xfId="0" applyFont="1" applyFill="1" applyBorder="1" applyAlignment="1">
      <alignment vertical="center" wrapText="1" indent="1"/>
    </xf>
    <xf numFmtId="0" fontId="5" fillId="0" borderId="0" xfId="0" applyFont="1" applyFill="1" applyBorder="1" applyAlignment="1">
      <alignment vertical="top" wrapText="1" indent="1"/>
    </xf>
    <xf numFmtId="0" fontId="8" fillId="0" borderId="0" xfId="0" applyFont="1" applyAlignment="1">
      <alignment horizontal="left" vertical="top" wrapText="1" indent="1"/>
    </xf>
    <xf numFmtId="0" fontId="0" fillId="0" borderId="0" xfId="0" applyFill="1" applyAlignment="1">
      <alignment horizontal="left" vertical="top" wrapText="1" indent="1"/>
    </xf>
    <xf numFmtId="0" fontId="2" fillId="3" borderId="8" xfId="0" applyFont="1" applyFill="1" applyBorder="1" applyAlignment="1">
      <alignment horizontal="left" vertical="center" wrapText="1" indent="1"/>
    </xf>
    <xf numFmtId="0" fontId="2" fillId="3" borderId="9" xfId="0" applyFont="1" applyFill="1" applyBorder="1" applyAlignment="1">
      <alignment horizontal="left" vertical="center" wrapText="1" indent="1"/>
    </xf>
    <xf numFmtId="0" fontId="0" fillId="3" borderId="9" xfId="0" applyFill="1" applyBorder="1" applyAlignment="1">
      <alignment vertical="center" wrapText="1" indent="1"/>
    </xf>
    <xf numFmtId="0" fontId="0" fillId="3" borderId="10" xfId="0" applyFill="1" applyBorder="1" applyAlignment="1">
      <alignment vertical="center" wrapText="1" indent="1"/>
    </xf>
    <xf numFmtId="0" fontId="0" fillId="0" borderId="0" xfId="0" applyAlignment="1">
      <alignment vertical="center" wrapText="1" indent="1"/>
    </xf>
    <xf numFmtId="0" fontId="5" fillId="5" borderId="14" xfId="0" applyFont="1" applyFill="1" applyBorder="1" applyAlignment="1">
      <alignment horizontal="left" vertical="top" wrapText="1" indent="1"/>
    </xf>
    <xf numFmtId="0" fontId="0" fillId="0" borderId="15" xfId="0" applyFont="1" applyBorder="1" applyAlignment="1">
      <alignment horizontal="left" vertical="top" wrapText="1" indent="1"/>
    </xf>
    <xf numFmtId="0" fontId="0" fillId="0" borderId="15" xfId="0" applyFont="1" applyFill="1" applyBorder="1" applyAlignment="1">
      <alignment horizontal="left" vertical="top" wrapText="1" indent="2"/>
    </xf>
    <xf numFmtId="0" fontId="2" fillId="3" borderId="14" xfId="0" applyFont="1" applyFill="1" applyBorder="1" applyAlignment="1">
      <alignment horizontal="left" vertical="center" wrapText="1" indent="1"/>
    </xf>
    <xf numFmtId="0" fontId="0" fillId="3" borderId="0" xfId="0" applyFill="1" applyBorder="1" applyAlignment="1">
      <alignment wrapText="1" indent="1"/>
    </xf>
    <xf numFmtId="0" fontId="0" fillId="3" borderId="15" xfId="0" applyFill="1" applyBorder="1" applyAlignment="1">
      <alignment wrapText="1" indent="1"/>
    </xf>
    <xf numFmtId="0" fontId="0" fillId="0" borderId="15" xfId="0" applyBorder="1" applyAlignment="1">
      <alignment horizontal="left" vertical="top" wrapText="1" indent="1"/>
    </xf>
    <xf numFmtId="164" fontId="0" fillId="0" borderId="0" xfId="0" applyNumberFormat="1" applyBorder="1" applyAlignment="1">
      <alignment horizontal="left" vertical="top" wrapText="1" indent="1"/>
    </xf>
    <xf numFmtId="164" fontId="0" fillId="0" borderId="15" xfId="0" applyNumberFormat="1" applyBorder="1" applyAlignment="1">
      <alignment horizontal="left" vertical="top" wrapText="1" indent="1"/>
    </xf>
    <xf numFmtId="0" fontId="5" fillId="5" borderId="11" xfId="0" applyFont="1" applyFill="1" applyBorder="1" applyAlignment="1">
      <alignment horizontal="left" vertical="top" wrapText="1" indent="1"/>
    </xf>
    <xf numFmtId="164" fontId="0" fillId="0" borderId="12" xfId="0" applyNumberFormat="1"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164" fontId="0" fillId="0" borderId="0" xfId="0" applyNumberFormat="1" applyFill="1" applyBorder="1" applyAlignment="1">
      <alignment horizontal="left" vertical="top" wrapText="1" indent="2"/>
    </xf>
    <xf numFmtId="0" fontId="2" fillId="0" borderId="0" xfId="0" applyFont="1" applyFill="1" applyBorder="1" applyAlignment="1">
      <alignment horizontal="left" vertical="center" wrapText="1" indent="1"/>
    </xf>
    <xf numFmtId="0" fontId="0" fillId="0" borderId="0" xfId="0" applyFill="1" applyBorder="1" applyAlignment="1">
      <alignment vertical="center" wrapText="1" indent="1"/>
    </xf>
    <xf numFmtId="0" fontId="5" fillId="0" borderId="0" xfId="0" applyFont="1" applyBorder="1" applyAlignment="1">
      <alignment horizontal="left" vertical="top" wrapText="1" indent="1"/>
    </xf>
    <xf numFmtId="0" fontId="5" fillId="0" borderId="0" xfId="0" applyFont="1" applyFill="1" applyBorder="1" applyAlignment="1">
      <alignment horizontal="left" vertical="top" wrapText="1" indent="1"/>
    </xf>
    <xf numFmtId="0" fontId="1" fillId="0" borderId="0" xfId="1" applyFont="1" applyFill="1" applyBorder="1" applyAlignment="1">
      <alignment horizontal="left" vertical="top" wrapText="1" indent="1"/>
    </xf>
    <xf numFmtId="0" fontId="2" fillId="0" borderId="0" xfId="0" applyFont="1" applyBorder="1" applyAlignment="1">
      <alignment horizontal="left" vertical="top" wrapText="1" indent="1"/>
    </xf>
    <xf numFmtId="0" fontId="3" fillId="0" borderId="0" xfId="0" applyFont="1" applyFill="1" applyBorder="1" applyAlignment="1">
      <alignment horizontal="left" vertical="top" wrapText="1" indent="1"/>
    </xf>
    <xf numFmtId="0" fontId="5" fillId="0" borderId="0" xfId="0" applyFont="1" applyBorder="1" applyAlignment="1">
      <alignment vertical="top" wrapText="1" indent="1"/>
    </xf>
    <xf numFmtId="164" fontId="0" fillId="0" borderId="0" xfId="0" applyNumberFormat="1" applyFill="1" applyBorder="1" applyAlignment="1">
      <alignment horizontal="left" vertical="top" wrapText="1" indent="1"/>
    </xf>
    <xf numFmtId="0" fontId="6" fillId="0" borderId="0" xfId="0" applyFont="1" applyFill="1" applyBorder="1" applyAlignment="1">
      <alignment horizontal="left" vertical="top" wrapText="1" indent="1"/>
    </xf>
    <xf numFmtId="0" fontId="3" fillId="0" borderId="2" xfId="0" applyFont="1" applyBorder="1" applyAlignment="1">
      <alignment horizontal="left" vertical="top" wrapText="1" indent="1"/>
    </xf>
    <xf numFmtId="164" fontId="0" fillId="0" borderId="2" xfId="0" applyNumberFormat="1" applyBorder="1" applyAlignment="1">
      <alignment horizontal="left" vertical="top" wrapText="1" indent="1"/>
    </xf>
    <xf numFmtId="0" fontId="0" fillId="0" borderId="3" xfId="0" applyBorder="1" applyAlignment="1">
      <alignment horizontal="left" vertical="top" indent="1"/>
    </xf>
    <xf numFmtId="0" fontId="7" fillId="3" borderId="17" xfId="0" applyFont="1" applyFill="1" applyBorder="1" applyAlignment="1">
      <alignment horizontal="left" vertical="top" wrapText="1" indent="1"/>
    </xf>
    <xf numFmtId="0" fontId="3" fillId="3" borderId="16" xfId="0" applyFont="1" applyFill="1" applyBorder="1" applyAlignment="1">
      <alignment horizontal="left" vertical="top" wrapText="1" indent="1"/>
    </xf>
  </cellXfs>
  <cellStyles count="2">
    <cellStyle name="Hyperlink" xfId="1" builtinId="8"/>
    <cellStyle name="Normal" xfId="0" builtinId="0"/>
  </cellStyles>
  <dxfs count="25">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alignment horizontal="left" vertical="top" relativeIndent="1"/>
      <border>
        <top style="thin">
          <color rgb="FF000000"/>
        </top>
        <bottom style="thin">
          <color rgb="FF000000"/>
        </bottom>
        <horizontal style="thin">
          <color rgb="FF000000"/>
        </horizontal>
      </border>
    </dxf>
    <dxf>
      <fill>
        <patternFill patternType="solid">
          <fgColor indexed="64"/>
          <bgColor rgb="FFDAF2DE"/>
        </patternFill>
      </fill>
      <alignment horizontal="left" vertical="top" relativeIndent="1"/>
      <border>
        <top style="thin">
          <color rgb="FF000000"/>
        </top>
        <bottom style="thin">
          <color rgb="FF000000"/>
        </bottom>
        <horizontal style="thin">
          <color rgb="FF000000"/>
        </horizontal>
      </border>
    </dxf>
    <dxf>
      <alignment horizontal="left" vertical="top" relativeIndent="1"/>
    </dxf>
    <dxf>
      <font>
        <b/>
        <i val="0"/>
        <strike val="0"/>
        <condense val="0"/>
        <extend val="0"/>
        <outline val="0"/>
        <shadow val="0"/>
        <u val="none"/>
        <vertAlign val="baseline"/>
        <sz val="16"/>
        <color theme="0"/>
        <name val="Aptos Narrow"/>
        <family val="2"/>
        <scheme val="minor"/>
      </font>
      <fill>
        <patternFill patternType="solid">
          <fgColor indexed="64"/>
          <bgColor theme="1"/>
        </patternFill>
      </fill>
      <alignment horizontal="left" vertical="top" textRotation="0" wrapText="1" relativeIndent="1" justifyLastLine="0" shrinkToFit="0" readingOrder="0"/>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fill>
        <patternFill patternType="solid">
          <fgColor indexed="64"/>
          <bgColor theme="9" tint="0.79998168889431442"/>
        </patternFill>
      </fill>
      <alignment horizontal="left" vertical="top" wrapText="1" relativeIndent="1"/>
    </dxf>
    <dxf>
      <fill>
        <patternFill patternType="solid">
          <fgColor indexed="64"/>
          <bgColor theme="9" tint="0.79998168889431442"/>
        </patternFill>
      </fill>
      <alignment horizontal="left" vertical="top" wrapText="1" relativeIndent="1"/>
    </dxf>
    <dxf>
      <numFmt numFmtId="25" formatCode="h:mm"/>
      <fill>
        <patternFill patternType="solid">
          <fgColor indexed="64"/>
          <bgColor theme="9" tint="0.79998168889431442"/>
        </patternFill>
      </fill>
      <alignment horizontal="left" vertical="top" textRotation="0" wrapText="1" relativeIndent="1" justifyLastLine="0" shrinkToFit="0" readingOrder="0"/>
    </dxf>
    <dxf>
      <fill>
        <patternFill patternType="solid">
          <fgColor indexed="64"/>
          <bgColor theme="9" tint="0.79998168889431442"/>
        </patternFill>
      </fill>
      <alignment horizontal="left" vertical="top" textRotation="0" wrapText="1" relativeIndent="1" justifyLastLine="0" shrinkToFit="0" readingOrder="0"/>
    </dxf>
    <dxf>
      <fill>
        <patternFill patternType="solid">
          <fgColor indexed="64"/>
          <bgColor theme="9" tint="0.79998168889431442"/>
        </patternFill>
      </fill>
      <alignment horizontal="left" vertical="top" wrapText="1" relativeIndent="1"/>
    </dxf>
    <dxf>
      <alignment wrapText="1"/>
    </dxf>
    <dxf>
      <alignment horizontal="left" vertical="top" wrapText="1" relativeIndent="1"/>
    </dxf>
    <dxf>
      <font>
        <b/>
        <i val="0"/>
        <strike val="0"/>
        <condense val="0"/>
        <extend val="0"/>
        <outline val="0"/>
        <shadow val="0"/>
        <u val="none"/>
        <vertAlign val="baseline"/>
        <sz val="16"/>
        <color theme="0"/>
        <name val="Aptos Narrow"/>
        <family val="2"/>
        <scheme val="minor"/>
      </font>
      <alignment horizontal="left" vertical="top" wrapText="1" relativeIndent="1"/>
    </dxf>
  </dxfs>
  <tableStyles count="0" defaultTableStyle="TableStyleMedium2" defaultPivotStyle="PivotStyleMedium9"/>
  <colors>
    <mruColors>
      <color rgb="FFDAF2DE"/>
      <color rgb="FFF2CEEF"/>
      <color rgb="FFFFCAFF"/>
      <color rgb="FF9D02D7"/>
      <color rgb="FFFFF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leaned Data" id="{91F04EB6-B9F6-47ED-886F-F7A392D9E6EF}">
    <nsvFilter filterId="{9833AA96-4129-442C-A731-D76A8D4736FC}" ref="A1:H14" tableId="2"/>
  </namedSheetView>
  <namedSheetView name="Key Analysis" id="{EA2E1C36-B6B4-48C6-924B-6A697F37DAA3}">
    <nsvFilter filterId="{9833AA96-4129-442C-A731-D76A8D4736FC}" ref="A1:H14" tableId="2"/>
  </namedSheetView>
  <namedSheetView name="Vars Only" id="{4F8B27B1-51A8-4886-821D-6F49B3953039}">
    <nsvFilter filterId="{9833AA96-4129-442C-A731-D76A8D4736FC}" ref="A1:H14" tableId="2"/>
  </namedSheetView>
</namedSheetViews>
</file>

<file path=xl/persons/person.xml><?xml version="1.0" encoding="utf-8"?>
<personList xmlns="http://schemas.microsoft.com/office/spreadsheetml/2018/threadedcomments" xmlns:x="http://schemas.openxmlformats.org/spreadsheetml/2006/main">
  <person displayName="Alischa Thomas" id="{E5F52ECD-DA4C-4697-BF8B-F86C0F4A60C6}" userId="9bd2838a88af5a0a"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81BD2B-7187-4AE4-979E-C903840C7491}" name="Table14" displayName="Table14" ref="A1:M30" totalsRowShown="0" headerRowDxfId="24" dataDxfId="23">
  <autoFilter ref="A1:M30" xr:uid="{9833AA96-4129-442C-A731-D76A8D4736FC}"/>
  <tableColumns count="13">
    <tableColumn id="14" xr3:uid="{6DB3ADD8-7BC2-452F-A039-963A6FDCA963}" name="ID" dataDxfId="22"/>
    <tableColumn id="2" xr3:uid="{43B58904-BE12-4EC1-A1CA-D9725DA46C12}" name="Variables Name" dataDxfId="21"/>
    <tableColumn id="3" xr3:uid="{4765A0AA-7904-41DC-99E4-5EF3B21BB97D}" name="Data Type" dataDxfId="20"/>
    <tableColumn id="4" xr3:uid="{0EB401C8-588F-49C2-9F17-C27A35C256B5}" name="Example" dataDxfId="19"/>
    <tableColumn id="5" xr3:uid="{7B210026-324F-49DE-9F28-1FC6ACD826A6}" name="Used for" dataDxfId="18"/>
    <tableColumn id="6" xr3:uid="{7A4844F9-4A1C-451F-BC81-DD4807C9CA4E}" name="Source" dataDxfId="17"/>
    <tableColumn id="7" xr3:uid="{F7CCC80E-2DA0-44FB-BEEB-E873D432ECF4}" name="P1" dataDxfId="16"/>
    <tableColumn id="8" xr3:uid="{5E7F2DBF-5365-45A1-B51D-BE0F3DD89206}" name="P2" dataDxfId="15"/>
    <tableColumn id="9" xr3:uid="{73DF0FC9-823A-47A0-BF5F-270B8BC19EE8}" name="P3" dataDxfId="14"/>
    <tableColumn id="10" xr3:uid="{BC2A2716-1D4F-45D5-9E69-27E6470BDAE8}" name="P4" dataDxfId="13"/>
    <tableColumn id="11" xr3:uid="{D83AE255-BD3D-40C4-960E-796261C79A00}" name="P5" dataDxfId="12"/>
    <tableColumn id="12" xr3:uid="{73EC55A1-92C8-44F8-B337-3F9F357B2320}" name="P6" dataDxfId="11"/>
    <tableColumn id="13" xr3:uid="{75E1F789-953C-4C46-AADA-A9725D158757}" name="P7"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E39E0-2BA1-4249-8E4E-FA08733CE4BE}" name="Table13" displayName="Table13" ref="A1:H14" totalsRowShown="0" headerRowDxfId="9" dataDxfId="8">
  <autoFilter ref="A1:H14" xr:uid="{9833AA96-4129-442C-A731-D76A8D4736FC}"/>
  <tableColumns count="8">
    <tableColumn id="2" xr3:uid="{A06F206D-A3DD-4428-B8FA-11CAAA4BF270}" name="Variable" dataDxfId="7"/>
    <tableColumn id="7" xr3:uid="{7D796854-1CAC-4873-B4FC-52012290011D}" name="P1" dataDxfId="6"/>
    <tableColumn id="8" xr3:uid="{A91EB27C-67A0-4739-8C02-EC6558B7341C}" name="P2" dataDxfId="5"/>
    <tableColumn id="9" xr3:uid="{0526D1CE-82E3-4482-B7B3-0AA86FC599DD}" name="P3" dataDxfId="4"/>
    <tableColumn id="10" xr3:uid="{B0730124-899D-42E9-8FDE-5FD666F2086E}" name="P4" dataDxfId="3"/>
    <tableColumn id="11" xr3:uid="{C7DF05D0-8EB9-48F1-943B-6168D7827A98}" name="P5" dataDxfId="2"/>
    <tableColumn id="12" xr3:uid="{F6FF314A-1A54-45F7-A0F5-D13C4BA5DCE6}" name="P6" dataDxfId="1"/>
    <tableColumn id="13" xr3:uid="{38BDFC0B-C611-4CDE-B845-76B3D6833BC6}" name="P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9" dT="2025-12-05T10:38:26.16" personId="{E5F52ECD-DA4C-4697-BF8B-F86C0F4A60C6}" id="{01B35588-F022-43E0-9CDF-E0311388005A}">
    <text>User used browser which would increase the number to 4. But since the user specifically used the browser to open the hotel website in a targeted way, it is not counted as a separate tool.</text>
  </threadedComment>
</ThreadedComment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booking.com/hotel/at/gasthof-schapne-aussicht-kuchl.en-gb.html?aid=304142&amp;label=gen173nr-10CAEoggI46AdIM1gEaA6IAQGYATO4AQfIAQ_YAQPoAQH4AQGIAgGoAgG4AtO8vMkGwAIB0gIkZDlhNTU5NDgtOGU2Ni00YWIwLThlMjctMWQ4YmVmZTc2MWEx2AIB4AIB&amp;sid=3849ba114c73fbe20801e2119d7722d3&amp;dest_id=863657&amp;dest_type=hotel&amp;dist=0&amp;group_adults=2&amp;group_children=0&amp;hapos=1&amp;hpos=1&amp;no_rooms=1&amp;req_adults=2&amp;req_children=0&amp;room1=A%2CA&amp;sb_price_type=total&amp;sr_order=popularity&amp;srepoch=1764695658&amp;srpvid=bd407932fbd904de&amp;type=total&amp;ucfs=1&amp;" TargetMode="External"/><Relationship Id="rId7" Type="http://schemas.openxmlformats.org/officeDocument/2006/relationships/vmlDrawing" Target="../drawings/vmlDrawing1.vml"/><Relationship Id="rId2" Type="http://schemas.openxmlformats.org/officeDocument/2006/relationships/hyperlink" Target="https://www.booking.com/hotel/at/hungasthaus-03.en-gb.html?aid=304142&amp;label=gen173nr-10CAEoggI46AdIM1gEaA6IAQGYATO4AQfIAQ_YAQPoAQH4AQGIAgGoAgG4AtXHtckGwAIB0gIkZjJhMTBhMmEtODMxYy00YmQ4LThhZjAtZjcwODkyZTliOWRj2AIB4AIB&amp;sid=3849ba114c73fbe20801e2119d7722d3&amp;dest_id=14774670&amp;dest_type=hotel&amp;dist=0&amp;group_adults=2&amp;group_children=0&amp;hapos=1&amp;hpos=1&amp;no_rooms=1&amp;req_adults=2&amp;req_children=0&amp;room1=A%2CA&amp;sb_price_type=total&amp;sr_order=popularity&amp;srepoch=1764585133&amp;srpvid=97a949e790fc000c&amp;type=total&amp;ucfs=1&amp;" TargetMode="External"/><Relationship Id="rId1" Type="http://schemas.openxmlformats.org/officeDocument/2006/relationships/hyperlink" Target="https://www.booking.com/hotel/at/kurort-renona-rehabilitation.en-gb.html?aid=304142&amp;label=gen173nr-10CAEoggI46AdIM1gEaA6IAQGYATO4AQfIAQ_YAQPoAQH4AQGIAgGoAgG4AoqHh8kGwAIB0gIkZWQ0NGEyZDctZGQzYi00NTFiLTk0YzctMDI4NTIxZGQ5Y2Qw2AIB4AIB&amp;sid=3849ba114c73fbe20801e2119d7722d3&amp;checkin=2025-12-10&amp;checkout=2025-12-12&amp;dest_id=7429075&amp;dest_type=hotel&amp;dist=0&amp;group_adults=2&amp;group_children=0&amp;hapos=1&amp;hpos=1&amp;no_rooms=1&amp;req_adults=2&amp;req_children=0&amp;room1=A%2CA&amp;sb_price_type=total&amp;soh=1&amp;sr_order=popularity&amp;srepoch=1763825075&amp;srpvid=69ae9f1d2aed34ecaf1d75d8185b573b&amp;type=total&amp;ucfs=1&amp;" TargetMode="External"/><Relationship Id="rId6" Type="http://schemas.openxmlformats.org/officeDocument/2006/relationships/hyperlink" Target="https://www.booking.com/hotel/at/weber.en-gb.html?aid=304142&amp;label=gen173nr-10CAEoggI46AdIM1gEaA6IAQGYATO4AQfIAQ_YAQPoAQH4AQGIAgGoAgG4ArnDyskGwAIB0gIkNjUyZmZiNDgtNTkxNC00N2QzLWE0NzEtOWQ4OTYzMzE0ZWZk2AIB4AIB&amp;sid=3849ba114c73fbe20801e2119d7722d3&amp;dest_id=425694&amp;dest_type=hotel&amp;dist=0&amp;group_adults=2&amp;group_children=0&amp;hapos=1&amp;hpos=1&amp;no_rooms=1&amp;req_adults=2&amp;req_children=0&amp;room1=A%2CA&amp;sb_price_type=total&amp;sr_order=popularity&amp;srepoch=1764931174&amp;srpvid=b4b94aefa8e1042e&amp;type=total&amp;ucfs=1&amp;" TargetMode="External"/><Relationship Id="rId5" Type="http://schemas.openxmlformats.org/officeDocument/2006/relationships/hyperlink" Target="https://www.booking.com/hotel/at/thermenhotel-puchas-plus-stegersbach.en-gb.html?aid=304142&amp;label=gen173nr-10CAEoggI46AdIM1gEaA6IAQGYATO4AQfIAQ_YAQPoAQH4AQGIAgGoAgG4AqGDxckGwAIB0gIkNjAzOWExNWMtMTczZi00NmQ1LWE5YWYtNDQxM2Q5ZWI3YjI52AIB4AIB&amp;sid=3849ba114c73fbe20801e2119d7722d3&amp;all_sr_blocks=7098809_400310638_2_33_0&amp;checkin=2026-01-21&amp;checkout=2026-01-22&amp;dest_id=70988&amp;dest_type=hotel&amp;dist=0&amp;group_adults=2&amp;group_children=0&amp;hapos=1&amp;highlighted_blocks=7098809_400310638_2_33_0&amp;hpos=1&amp;matching_block_id=7098809_400310638_2_33_0&amp;no_rooms=1&amp;req_adults=2&amp;req_children=0&amp;room1=A%2CA&amp;sb_price_type=total&amp;sr_order=popularity&amp;sr_pri_blocks=7098809_400310638_2_33_0__27600&amp;srepoch=1764841619&amp;srpvid=01ee44c6f5500314&amp;type=total&amp;ucfs=1&amp;" TargetMode="External"/><Relationship Id="rId10" Type="http://schemas.microsoft.com/office/2017/10/relationships/threadedComment" Target="../threadedComments/threadedComment1.xml"/><Relationship Id="rId4" Type="http://schemas.openxmlformats.org/officeDocument/2006/relationships/hyperlink" Target="https://www.booking.com/hotel/at/ridehouse-schladming.en-gb.html?aid=304142&amp;label=gen173nr-10CAEoggI46AdIM1gEaA6IAQGYATO4AQfIAQ_YAQPoAQH4AQGIAgGoAgG4AqGDxckGwAIB0gIkNjAzOWExNWMtMTczZi00NmQ1LWE5YWYtNDQxM2Q5ZWI3YjI52AIB4AIB&amp;sid=3849ba114c73fbe20801e2119d7722d3&amp;dest_id=365644&amp;dest_type=hotel&amp;dist=0&amp;group_adults=2&amp;group_children=0&amp;hapos=1&amp;hpos=1&amp;no_rooms=1&amp;req_adults=2&amp;req_children=0&amp;room1=A%2CA&amp;sb_price_type=total&amp;sr_order=popularity&amp;srepoch=1764835762&amp;srpvid=773d3956c0330036&amp;type=total&amp;ucfs=1&amp;"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C4C2-99FC-476D-8C43-8E07B96D41CE}">
  <dimension ref="A1:AB46"/>
  <sheetViews>
    <sheetView showGridLines="0" workbookViewId="0">
      <selection activeCell="G10" sqref="G10"/>
    </sheetView>
  </sheetViews>
  <sheetFormatPr defaultRowHeight="15"/>
  <cols>
    <col min="1" max="1" width="9.140625" style="1"/>
    <col min="2" max="2" width="41.7109375" style="1" customWidth="1"/>
    <col min="3" max="3" width="60.5703125" style="1" customWidth="1"/>
    <col min="4" max="16384" width="9.140625" style="1"/>
  </cols>
  <sheetData>
    <row r="1" spans="1:28" ht="47.25" customHeight="1">
      <c r="A1" s="5"/>
      <c r="B1" s="5"/>
      <c r="C1" s="5"/>
      <c r="D1" s="5"/>
      <c r="E1" s="5"/>
      <c r="F1" s="5"/>
      <c r="G1" s="5"/>
      <c r="H1" s="5"/>
      <c r="I1" s="5"/>
      <c r="J1" s="5"/>
      <c r="K1" s="5"/>
      <c r="L1" s="5"/>
      <c r="M1" s="5"/>
      <c r="N1" s="5"/>
      <c r="O1" s="5"/>
      <c r="P1" s="5"/>
      <c r="Q1" s="5"/>
      <c r="R1" s="5"/>
      <c r="S1" s="5"/>
      <c r="T1" s="5"/>
      <c r="U1" s="5"/>
      <c r="V1" s="5"/>
      <c r="W1" s="5"/>
      <c r="X1" s="5"/>
      <c r="Y1" s="5"/>
      <c r="Z1" s="5"/>
      <c r="AA1" s="5"/>
      <c r="AB1" s="5"/>
    </row>
    <row r="2" spans="1:28" ht="158.25" customHeight="1">
      <c r="A2" s="5"/>
      <c r="B2" s="86" t="s">
        <v>0</v>
      </c>
      <c r="C2" s="87" t="s">
        <v>1</v>
      </c>
      <c r="D2" s="5"/>
      <c r="E2" s="5"/>
      <c r="F2" s="5"/>
      <c r="G2" s="5"/>
      <c r="H2" s="5"/>
      <c r="I2" s="5"/>
      <c r="J2" s="5"/>
      <c r="K2" s="5"/>
      <c r="L2" s="5"/>
      <c r="M2" s="5"/>
      <c r="N2" s="5"/>
      <c r="O2" s="5"/>
      <c r="P2" s="5"/>
      <c r="Q2" s="5"/>
      <c r="R2" s="5"/>
      <c r="S2" s="5"/>
      <c r="T2" s="5"/>
      <c r="U2" s="5"/>
      <c r="V2" s="5"/>
      <c r="W2" s="5"/>
      <c r="X2" s="5"/>
      <c r="Y2" s="5"/>
      <c r="Z2" s="5"/>
      <c r="AA2" s="5"/>
      <c r="AB2" s="5"/>
    </row>
    <row r="3" spans="1:28" ht="75.75" customHeight="1">
      <c r="A3" s="5"/>
      <c r="B3" s="9" t="s">
        <v>2</v>
      </c>
      <c r="C3" s="7" t="s">
        <v>3</v>
      </c>
      <c r="D3" s="5"/>
      <c r="E3" s="5"/>
      <c r="F3" s="5"/>
      <c r="G3" s="5"/>
      <c r="H3" s="5"/>
      <c r="I3" s="5"/>
      <c r="J3" s="5"/>
      <c r="K3" s="5"/>
      <c r="L3" s="5"/>
      <c r="M3" s="5"/>
      <c r="N3" s="5"/>
      <c r="O3" s="5"/>
      <c r="P3" s="5"/>
      <c r="Q3" s="5"/>
      <c r="R3" s="5"/>
      <c r="S3" s="5"/>
      <c r="T3" s="5"/>
      <c r="U3" s="5"/>
      <c r="V3" s="5"/>
      <c r="W3" s="5"/>
      <c r="X3" s="5"/>
      <c r="Y3" s="5"/>
      <c r="Z3" s="5"/>
      <c r="AA3" s="5"/>
      <c r="AB3" s="5"/>
    </row>
    <row r="4" spans="1:28" ht="59.25" customHeight="1">
      <c r="A4" s="5"/>
      <c r="B4" s="10" t="s">
        <v>4</v>
      </c>
      <c r="C4" s="8" t="s">
        <v>5</v>
      </c>
      <c r="D4" s="5"/>
      <c r="E4" s="5"/>
      <c r="F4" s="5"/>
      <c r="G4" s="5"/>
      <c r="H4" s="5"/>
      <c r="I4" s="5"/>
      <c r="J4" s="5"/>
      <c r="K4" s="5"/>
      <c r="L4" s="5"/>
      <c r="M4" s="5"/>
      <c r="N4" s="5"/>
      <c r="O4" s="5"/>
      <c r="P4" s="5"/>
      <c r="Q4" s="5"/>
      <c r="R4" s="5"/>
      <c r="S4" s="5"/>
      <c r="T4" s="5"/>
      <c r="U4" s="5"/>
      <c r="V4" s="5"/>
      <c r="W4" s="5"/>
      <c r="X4" s="5"/>
      <c r="Y4" s="5"/>
      <c r="Z4" s="5"/>
      <c r="AA4" s="5"/>
      <c r="AB4" s="5"/>
    </row>
    <row r="5" spans="1:28">
      <c r="A5" s="5"/>
      <c r="B5" s="5"/>
      <c r="C5" s="5"/>
      <c r="D5" s="5"/>
      <c r="E5" s="5"/>
      <c r="F5" s="5"/>
      <c r="G5" s="5"/>
      <c r="H5" s="5"/>
      <c r="I5" s="5"/>
      <c r="J5" s="5"/>
      <c r="K5" s="5"/>
      <c r="L5" s="5"/>
      <c r="M5" s="5"/>
      <c r="N5" s="5"/>
      <c r="O5" s="5"/>
      <c r="P5" s="5"/>
      <c r="Q5" s="5"/>
      <c r="R5" s="5"/>
      <c r="S5" s="5"/>
      <c r="T5" s="5"/>
      <c r="U5" s="5"/>
      <c r="V5" s="5"/>
      <c r="W5" s="5"/>
      <c r="X5" s="5"/>
      <c r="Y5" s="5"/>
      <c r="Z5" s="5"/>
      <c r="AA5" s="5"/>
      <c r="AB5" s="5"/>
    </row>
    <row r="6" spans="1:28">
      <c r="A6" s="5"/>
      <c r="B6" s="5"/>
      <c r="C6" s="5"/>
      <c r="D6" s="5"/>
      <c r="E6" s="5"/>
      <c r="F6" s="5"/>
      <c r="G6" s="5"/>
      <c r="H6" s="5"/>
      <c r="I6" s="5"/>
      <c r="J6" s="5"/>
      <c r="K6" s="5"/>
      <c r="L6" s="5"/>
      <c r="M6" s="5"/>
      <c r="N6" s="5"/>
      <c r="O6" s="5"/>
      <c r="P6" s="5"/>
      <c r="Q6" s="5"/>
      <c r="R6" s="5"/>
      <c r="S6" s="5"/>
      <c r="T6" s="5"/>
      <c r="U6" s="5"/>
      <c r="V6" s="5"/>
      <c r="W6" s="5"/>
      <c r="X6" s="5"/>
      <c r="Y6" s="5"/>
      <c r="Z6" s="5"/>
      <c r="AA6" s="5"/>
      <c r="AB6" s="5"/>
    </row>
    <row r="7" spans="1:28">
      <c r="A7" s="5"/>
      <c r="B7" s="5"/>
      <c r="C7" s="5"/>
      <c r="D7" s="5"/>
      <c r="E7" s="5"/>
      <c r="F7" s="5"/>
      <c r="G7" s="5"/>
      <c r="H7" s="5"/>
      <c r="I7" s="5"/>
      <c r="J7" s="5"/>
      <c r="K7" s="5"/>
      <c r="L7" s="5"/>
      <c r="M7" s="5"/>
      <c r="N7" s="5"/>
      <c r="O7" s="5"/>
      <c r="P7" s="5"/>
      <c r="Q7" s="5"/>
      <c r="R7" s="5"/>
      <c r="S7" s="5"/>
      <c r="T7" s="5"/>
      <c r="U7" s="5"/>
      <c r="V7" s="5"/>
      <c r="W7" s="5"/>
      <c r="X7" s="5"/>
      <c r="Y7" s="5"/>
      <c r="Z7" s="5"/>
      <c r="AA7" s="5"/>
      <c r="AB7" s="5"/>
    </row>
    <row r="8" spans="1:28">
      <c r="A8" s="5"/>
      <c r="B8" s="5"/>
      <c r="C8" s="5"/>
      <c r="D8" s="5"/>
      <c r="E8" s="5"/>
      <c r="F8" s="5"/>
      <c r="G8" s="5"/>
      <c r="H8" s="5"/>
      <c r="I8" s="5"/>
      <c r="J8" s="5"/>
      <c r="K8" s="5"/>
      <c r="L8" s="5"/>
      <c r="M8" s="5"/>
      <c r="N8" s="5"/>
      <c r="O8" s="5"/>
      <c r="P8" s="5"/>
      <c r="Q8" s="5"/>
      <c r="R8" s="5"/>
      <c r="S8" s="5"/>
      <c r="T8" s="5"/>
      <c r="U8" s="5"/>
      <c r="V8" s="5"/>
      <c r="W8" s="5"/>
      <c r="X8" s="5"/>
      <c r="Y8" s="5"/>
      <c r="Z8" s="5"/>
      <c r="AA8" s="5"/>
      <c r="AB8" s="5"/>
    </row>
    <row r="9" spans="1:28">
      <c r="A9" s="5"/>
      <c r="B9" s="5"/>
      <c r="C9" s="5"/>
      <c r="D9" s="5"/>
      <c r="E9" s="5"/>
      <c r="F9" s="5"/>
      <c r="G9" s="5"/>
      <c r="H9" s="5"/>
      <c r="I9" s="5"/>
      <c r="J9" s="5"/>
      <c r="K9" s="5"/>
      <c r="L9" s="5"/>
      <c r="M9" s="5"/>
      <c r="N9" s="5"/>
      <c r="O9" s="5"/>
      <c r="P9" s="5"/>
      <c r="Q9" s="5"/>
      <c r="R9" s="5"/>
      <c r="S9" s="5"/>
      <c r="T9" s="5"/>
      <c r="U9" s="5"/>
      <c r="V9" s="5"/>
      <c r="W9" s="5"/>
      <c r="X9" s="5"/>
      <c r="Y9" s="5"/>
      <c r="Z9" s="5"/>
      <c r="AA9" s="5"/>
      <c r="AB9" s="5"/>
    </row>
    <row r="10" spans="1:28">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1:28">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28">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28">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spans="1:28">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3B15E-11A0-4D3B-8A56-D22670849F40}">
  <dimension ref="A1:O34"/>
  <sheetViews>
    <sheetView workbookViewId="0">
      <selection sqref="A1:XFD1"/>
    </sheetView>
  </sheetViews>
  <sheetFormatPr defaultRowHeight="15"/>
  <cols>
    <col min="1" max="1" width="8.28515625" style="4" customWidth="1"/>
    <col min="2" max="2" width="36.5703125" style="4" bestFit="1" customWidth="1"/>
    <col min="3" max="3" width="11.85546875" style="4" hidden="1" customWidth="1"/>
    <col min="4" max="4" width="26.5703125" style="4" hidden="1" customWidth="1"/>
    <col min="5" max="5" width="21.5703125" style="4" hidden="1" customWidth="1"/>
    <col min="6" max="6" width="29.140625" style="4" hidden="1" customWidth="1"/>
    <col min="7" max="13" width="40.7109375" style="4" customWidth="1"/>
    <col min="14" max="16384" width="9.140625" style="4"/>
  </cols>
  <sheetData>
    <row r="1" spans="1:13" s="52" customFormat="1" ht="21">
      <c r="A1" s="46" t="s">
        <v>6</v>
      </c>
      <c r="B1" s="46" t="s">
        <v>7</v>
      </c>
      <c r="C1" s="46" t="s">
        <v>8</v>
      </c>
      <c r="D1" s="46" t="s">
        <v>9</v>
      </c>
      <c r="E1" s="46" t="s">
        <v>10</v>
      </c>
      <c r="F1" s="46" t="s">
        <v>11</v>
      </c>
      <c r="G1" s="46" t="s">
        <v>12</v>
      </c>
      <c r="H1" s="46" t="s">
        <v>13</v>
      </c>
      <c r="I1" s="46" t="s">
        <v>14</v>
      </c>
      <c r="J1" s="46" t="s">
        <v>15</v>
      </c>
      <c r="K1" s="46" t="s">
        <v>16</v>
      </c>
      <c r="L1" s="46" t="s">
        <v>17</v>
      </c>
      <c r="M1" s="46" t="s">
        <v>18</v>
      </c>
    </row>
    <row r="2" spans="1:13" s="53" customFormat="1" ht="9" customHeight="1">
      <c r="A2" s="38"/>
      <c r="B2" s="38"/>
      <c r="C2" s="38"/>
      <c r="D2" s="39"/>
      <c r="E2" s="38"/>
      <c r="F2" s="38"/>
      <c r="G2" s="38"/>
      <c r="H2" s="38"/>
      <c r="I2" s="38"/>
      <c r="J2" s="38"/>
      <c r="K2" s="38"/>
      <c r="L2" s="38"/>
      <c r="M2" s="38"/>
    </row>
    <row r="3" spans="1:13" s="58" customFormat="1" ht="25.5" customHeight="1">
      <c r="A3" s="54" t="s">
        <v>19</v>
      </c>
      <c r="B3" s="55" t="s">
        <v>20</v>
      </c>
      <c r="C3" s="56"/>
      <c r="D3" s="56"/>
      <c r="E3" s="56"/>
      <c r="F3" s="56"/>
      <c r="G3" s="56"/>
      <c r="H3" s="56"/>
      <c r="I3" s="56"/>
      <c r="J3" s="56"/>
      <c r="K3" s="56"/>
      <c r="L3" s="56"/>
      <c r="M3" s="57"/>
    </row>
    <row r="4" spans="1:13" ht="15.75">
      <c r="A4" s="59" t="s">
        <v>21</v>
      </c>
      <c r="B4" s="47" t="s">
        <v>22</v>
      </c>
      <c r="C4" s="30" t="s">
        <v>23</v>
      </c>
      <c r="D4" s="30" t="s">
        <v>24</v>
      </c>
      <c r="E4" s="30" t="s">
        <v>25</v>
      </c>
      <c r="F4" s="30" t="s">
        <v>26</v>
      </c>
      <c r="G4" s="36" t="s">
        <v>27</v>
      </c>
      <c r="H4" s="31" t="s">
        <v>28</v>
      </c>
      <c r="I4" s="31" t="s">
        <v>27</v>
      </c>
      <c r="J4" s="31" t="s">
        <v>27</v>
      </c>
      <c r="K4" s="31" t="s">
        <v>27</v>
      </c>
      <c r="L4" s="31" t="s">
        <v>27</v>
      </c>
      <c r="M4" s="60" t="s">
        <v>27</v>
      </c>
    </row>
    <row r="5" spans="1:13" s="53" customFormat="1" ht="9" customHeight="1">
      <c r="A5" s="40"/>
      <c r="B5" s="28"/>
      <c r="C5" s="28"/>
      <c r="D5" s="32"/>
      <c r="E5" s="28"/>
      <c r="F5" s="28"/>
      <c r="G5" s="28"/>
      <c r="H5" s="28"/>
      <c r="I5" s="28"/>
      <c r="J5" s="28"/>
      <c r="K5" s="28"/>
      <c r="L5" s="28"/>
      <c r="M5" s="61"/>
    </row>
    <row r="6" spans="1:13" ht="25.5" customHeight="1">
      <c r="A6" s="62" t="s">
        <v>29</v>
      </c>
      <c r="B6" s="50" t="s">
        <v>30</v>
      </c>
      <c r="C6" s="63"/>
      <c r="D6" s="63"/>
      <c r="E6" s="63"/>
      <c r="F6" s="63"/>
      <c r="G6" s="63"/>
      <c r="H6" s="63"/>
      <c r="I6" s="63"/>
      <c r="J6" s="63"/>
      <c r="K6" s="63"/>
      <c r="L6" s="63"/>
      <c r="M6" s="64"/>
    </row>
    <row r="7" spans="1:13" ht="15.75">
      <c r="A7" s="59" t="s">
        <v>31</v>
      </c>
      <c r="B7" s="47" t="s">
        <v>32</v>
      </c>
      <c r="C7" s="21" t="s">
        <v>33</v>
      </c>
      <c r="D7" s="21">
        <v>15</v>
      </c>
      <c r="E7" s="21" t="s">
        <v>34</v>
      </c>
      <c r="F7" s="21" t="s">
        <v>35</v>
      </c>
      <c r="G7" s="37">
        <v>60</v>
      </c>
      <c r="H7" s="37">
        <v>60</v>
      </c>
      <c r="I7" s="37">
        <v>60</v>
      </c>
      <c r="J7" s="37">
        <v>90</v>
      </c>
      <c r="K7" s="37">
        <v>15</v>
      </c>
      <c r="L7" s="37">
        <v>30</v>
      </c>
      <c r="M7" s="65">
        <v>40</v>
      </c>
    </row>
    <row r="8" spans="1:13" ht="51.75" customHeight="1">
      <c r="A8" s="59" t="s">
        <v>36</v>
      </c>
      <c r="B8" s="47" t="s">
        <v>37</v>
      </c>
      <c r="C8" s="21" t="s">
        <v>33</v>
      </c>
      <c r="D8" s="21">
        <v>75</v>
      </c>
      <c r="E8" s="21" t="s">
        <v>34</v>
      </c>
      <c r="F8" s="21" t="s">
        <v>35</v>
      </c>
      <c r="G8" s="37">
        <v>180</v>
      </c>
      <c r="H8" s="37">
        <v>210</v>
      </c>
      <c r="I8" s="37" t="s">
        <v>38</v>
      </c>
      <c r="J8" s="37">
        <v>420</v>
      </c>
      <c r="K8" s="37">
        <v>120</v>
      </c>
      <c r="L8" s="37">
        <v>150</v>
      </c>
      <c r="M8" s="65">
        <v>180</v>
      </c>
    </row>
    <row r="9" spans="1:13" ht="15.75">
      <c r="A9" s="59" t="s">
        <v>39</v>
      </c>
      <c r="B9" s="47" t="s">
        <v>40</v>
      </c>
      <c r="C9" s="21" t="s">
        <v>33</v>
      </c>
      <c r="D9" s="21">
        <v>45</v>
      </c>
      <c r="E9" s="21" t="s">
        <v>34</v>
      </c>
      <c r="F9" s="21" t="s">
        <v>35</v>
      </c>
      <c r="G9" s="37">
        <v>150</v>
      </c>
      <c r="H9" s="37">
        <v>150</v>
      </c>
      <c r="I9" s="37">
        <v>240</v>
      </c>
      <c r="J9" s="37">
        <v>250</v>
      </c>
      <c r="K9" s="37">
        <v>120</v>
      </c>
      <c r="L9" s="37">
        <v>80</v>
      </c>
      <c r="M9" s="65">
        <v>180</v>
      </c>
    </row>
    <row r="10" spans="1:13" ht="15.75">
      <c r="A10" s="59" t="s">
        <v>41</v>
      </c>
      <c r="B10" s="47" t="s">
        <v>42</v>
      </c>
      <c r="C10" s="21"/>
      <c r="D10" s="22"/>
      <c r="E10" s="21"/>
      <c r="F10" s="21"/>
      <c r="G10" s="37" t="s">
        <v>43</v>
      </c>
      <c r="H10" s="37" t="s">
        <v>43</v>
      </c>
      <c r="I10" s="37" t="s">
        <v>44</v>
      </c>
      <c r="J10" s="37">
        <v>240</v>
      </c>
      <c r="K10" s="37" t="s">
        <v>43</v>
      </c>
      <c r="L10" s="37" t="s">
        <v>43</v>
      </c>
      <c r="M10" s="65" t="s">
        <v>43</v>
      </c>
    </row>
    <row r="11" spans="1:13" ht="30.75">
      <c r="A11" s="59" t="s">
        <v>45</v>
      </c>
      <c r="B11" s="47" t="s">
        <v>46</v>
      </c>
      <c r="C11" s="21" t="s">
        <v>33</v>
      </c>
      <c r="D11" s="21">
        <v>50</v>
      </c>
      <c r="E11" s="21" t="s">
        <v>34</v>
      </c>
      <c r="F11" s="21" t="s">
        <v>47</v>
      </c>
      <c r="G11" s="37">
        <v>162</v>
      </c>
      <c r="H11" s="37">
        <v>207</v>
      </c>
      <c r="I11" s="37">
        <v>271</v>
      </c>
      <c r="J11" s="37">
        <v>296</v>
      </c>
      <c r="K11" s="37">
        <v>153</v>
      </c>
      <c r="L11" s="37">
        <v>85</v>
      </c>
      <c r="M11" s="65">
        <v>184</v>
      </c>
    </row>
    <row r="12" spans="1:13" ht="30.75">
      <c r="A12" s="59" t="s">
        <v>48</v>
      </c>
      <c r="B12" s="47" t="s">
        <v>49</v>
      </c>
      <c r="C12" s="21" t="s">
        <v>50</v>
      </c>
      <c r="D12" s="21">
        <v>5</v>
      </c>
      <c r="E12" s="21" t="s">
        <v>34</v>
      </c>
      <c r="F12" s="21" t="s">
        <v>51</v>
      </c>
      <c r="G12" s="37">
        <f>SUM(G11-G9)</f>
        <v>12</v>
      </c>
      <c r="H12" s="37">
        <f>SUM(H11-H9)</f>
        <v>57</v>
      </c>
      <c r="I12" s="37">
        <f>SUM(I11-I9)</f>
        <v>31</v>
      </c>
      <c r="J12" s="37">
        <f>SUM(J11-J9)</f>
        <v>46</v>
      </c>
      <c r="K12" s="37">
        <f>SUM(K11-K9)</f>
        <v>33</v>
      </c>
      <c r="L12" s="37">
        <f>SUM(L11-L9)</f>
        <v>5</v>
      </c>
      <c r="M12" s="65">
        <f>SUM(M11-M9)</f>
        <v>4</v>
      </c>
    </row>
    <row r="13" spans="1:13" ht="15.75">
      <c r="A13" s="59" t="s">
        <v>52</v>
      </c>
      <c r="B13" s="47" t="s">
        <v>53</v>
      </c>
      <c r="C13" s="21" t="s">
        <v>54</v>
      </c>
      <c r="D13" s="21" t="s">
        <v>55</v>
      </c>
      <c r="E13" s="21" t="s">
        <v>34</v>
      </c>
      <c r="F13" s="21" t="s">
        <v>56</v>
      </c>
      <c r="G13" s="44" t="s">
        <v>57</v>
      </c>
      <c r="H13" s="44" t="s">
        <v>58</v>
      </c>
      <c r="I13" s="44" t="s">
        <v>59</v>
      </c>
      <c r="J13" s="44" t="s">
        <v>60</v>
      </c>
      <c r="K13" s="44" t="s">
        <v>60</v>
      </c>
      <c r="L13" s="44" t="s">
        <v>59</v>
      </c>
      <c r="M13" s="45" t="s">
        <v>61</v>
      </c>
    </row>
    <row r="14" spans="1:13" s="53" customFormat="1" ht="9" customHeight="1">
      <c r="A14" s="40"/>
      <c r="B14" s="26"/>
      <c r="C14" s="26"/>
      <c r="D14" s="27"/>
      <c r="E14" s="26"/>
      <c r="F14" s="26"/>
      <c r="G14" s="33"/>
      <c r="H14" s="33"/>
      <c r="I14" s="33"/>
      <c r="J14" s="33"/>
      <c r="K14" s="33"/>
      <c r="L14" s="33"/>
      <c r="M14" s="41"/>
    </row>
    <row r="15" spans="1:13" ht="25.5" customHeight="1">
      <c r="A15" s="62" t="s">
        <v>62</v>
      </c>
      <c r="B15" s="50" t="s">
        <v>63</v>
      </c>
      <c r="C15" s="63"/>
      <c r="D15" s="63"/>
      <c r="E15" s="63"/>
      <c r="F15" s="63"/>
      <c r="G15" s="63"/>
      <c r="H15" s="63"/>
      <c r="I15" s="63"/>
      <c r="J15" s="63"/>
      <c r="K15" s="63"/>
      <c r="L15" s="63"/>
      <c r="M15" s="64"/>
    </row>
    <row r="16" spans="1:13" ht="15.75">
      <c r="A16" s="59" t="s">
        <v>64</v>
      </c>
      <c r="B16" s="47" t="s">
        <v>65</v>
      </c>
      <c r="C16" s="21" t="s">
        <v>66</v>
      </c>
      <c r="D16" s="22">
        <v>7.2916666666666671E-2</v>
      </c>
      <c r="E16" s="21" t="s">
        <v>25</v>
      </c>
      <c r="F16" s="21" t="s">
        <v>56</v>
      </c>
      <c r="G16" s="66">
        <v>1.2152777777777778E-3</v>
      </c>
      <c r="H16" s="66">
        <v>1.9097222222222222E-3</v>
      </c>
      <c r="I16" s="66">
        <v>6.3657407407407413E-4</v>
      </c>
      <c r="J16" s="66">
        <v>1.9675925925925924E-3</v>
      </c>
      <c r="K16" s="66">
        <v>1.3888888888888889E-3</v>
      </c>
      <c r="L16" s="66">
        <v>1.8518518518518519E-3</v>
      </c>
      <c r="M16" s="67">
        <v>1.8518518518518519E-3</v>
      </c>
    </row>
    <row r="17" spans="1:13" ht="15.75">
      <c r="A17" s="59" t="s">
        <v>67</v>
      </c>
      <c r="B17" s="47" t="s">
        <v>68</v>
      </c>
      <c r="C17" s="21" t="s">
        <v>66</v>
      </c>
      <c r="D17" s="22">
        <v>0.85</v>
      </c>
      <c r="E17" s="21" t="s">
        <v>25</v>
      </c>
      <c r="F17" s="21" t="s">
        <v>56</v>
      </c>
      <c r="G17" s="66">
        <v>1.0972222222222222E-2</v>
      </c>
      <c r="H17" s="66">
        <v>2.3090277777777779E-2</v>
      </c>
      <c r="I17" s="66">
        <v>1.3402777777777777E-2</v>
      </c>
      <c r="J17" s="66">
        <v>1.7534722222222222E-2</v>
      </c>
      <c r="K17" s="66">
        <v>7.6041666666666671E-3</v>
      </c>
      <c r="L17" s="66">
        <v>1.6319444444444445E-2</v>
      </c>
      <c r="M17" s="67">
        <v>1.5162037037037036E-2</v>
      </c>
    </row>
    <row r="18" spans="1:13" ht="15.75">
      <c r="A18" s="59" t="s">
        <v>69</v>
      </c>
      <c r="B18" s="47" t="s">
        <v>70</v>
      </c>
      <c r="C18" s="21" t="s">
        <v>66</v>
      </c>
      <c r="D18" s="22">
        <v>0.64930555555555558</v>
      </c>
      <c r="E18" s="21" t="s">
        <v>25</v>
      </c>
      <c r="F18" s="21" t="s">
        <v>71</v>
      </c>
      <c r="G18" s="66">
        <f>SUM(G17-G16)</f>
        <v>9.7569444444444431E-3</v>
      </c>
      <c r="H18" s="66">
        <f>SUM(H17-H16)</f>
        <v>2.1180555555555557E-2</v>
      </c>
      <c r="I18" s="66">
        <f>SUM(I17-I16)</f>
        <v>1.2766203703703703E-2</v>
      </c>
      <c r="J18" s="66">
        <f>SUM(J17-J16)</f>
        <v>1.556712962962963E-2</v>
      </c>
      <c r="K18" s="66">
        <f>SUM(K17-K16)</f>
        <v>6.2152777777777779E-3</v>
      </c>
      <c r="L18" s="66">
        <f>SUM(L17-L16)</f>
        <v>1.4467592592592594E-2</v>
      </c>
      <c r="M18" s="67">
        <f>SUM(M17-M16)</f>
        <v>1.3310185185185185E-2</v>
      </c>
    </row>
    <row r="19" spans="1:13" ht="15.75">
      <c r="A19" s="59" t="s">
        <v>72</v>
      </c>
      <c r="B19" s="47" t="s">
        <v>73</v>
      </c>
      <c r="C19" s="21" t="s">
        <v>33</v>
      </c>
      <c r="D19" s="22">
        <v>3</v>
      </c>
      <c r="E19" s="21" t="s">
        <v>25</v>
      </c>
      <c r="F19" s="21" t="s">
        <v>56</v>
      </c>
      <c r="G19" s="37">
        <v>2</v>
      </c>
      <c r="H19" s="37">
        <v>7</v>
      </c>
      <c r="I19" s="37">
        <v>4</v>
      </c>
      <c r="J19" s="37">
        <v>6</v>
      </c>
      <c r="K19" s="37">
        <v>4</v>
      </c>
      <c r="L19" s="37">
        <v>3</v>
      </c>
      <c r="M19" s="65">
        <v>5</v>
      </c>
    </row>
    <row r="20" spans="1:13" ht="29.25">
      <c r="A20" s="59" t="s">
        <v>74</v>
      </c>
      <c r="B20" s="47" t="s">
        <v>75</v>
      </c>
      <c r="C20" s="21" t="s">
        <v>33</v>
      </c>
      <c r="D20" s="22">
        <v>34</v>
      </c>
      <c r="E20" s="21" t="s">
        <v>25</v>
      </c>
      <c r="F20" s="21" t="s">
        <v>76</v>
      </c>
      <c r="G20" s="37" t="s">
        <v>77</v>
      </c>
      <c r="H20" s="37" t="s">
        <v>78</v>
      </c>
      <c r="I20" s="37" t="s">
        <v>77</v>
      </c>
      <c r="J20" s="37" t="s">
        <v>79</v>
      </c>
      <c r="K20" s="37" t="s">
        <v>80</v>
      </c>
      <c r="L20" s="37" t="s">
        <v>81</v>
      </c>
      <c r="M20" s="65" t="s">
        <v>82</v>
      </c>
    </row>
    <row r="21" spans="1:13" ht="15.75">
      <c r="A21" s="68" t="s">
        <v>83</v>
      </c>
      <c r="B21" s="48" t="s">
        <v>84</v>
      </c>
      <c r="C21" s="42" t="s">
        <v>85</v>
      </c>
      <c r="D21" s="43" t="s">
        <v>86</v>
      </c>
      <c r="E21" s="42" t="s">
        <v>25</v>
      </c>
      <c r="F21" s="42" t="s">
        <v>26</v>
      </c>
      <c r="G21" s="69" t="s">
        <v>87</v>
      </c>
      <c r="H21" s="70" t="s">
        <v>88</v>
      </c>
      <c r="I21" s="69" t="s">
        <v>87</v>
      </c>
      <c r="J21" s="69" t="s">
        <v>87</v>
      </c>
      <c r="K21" s="69" t="s">
        <v>87</v>
      </c>
      <c r="L21" s="69" t="s">
        <v>87</v>
      </c>
      <c r="M21" s="71" t="s">
        <v>88</v>
      </c>
    </row>
    <row r="22" spans="1:13" s="53" customFormat="1" ht="29.25" customHeight="1">
      <c r="A22" s="29"/>
      <c r="B22" s="26"/>
      <c r="C22" s="26"/>
      <c r="D22" s="27"/>
      <c r="E22" s="26"/>
      <c r="F22" s="26"/>
      <c r="G22" s="72"/>
      <c r="H22" s="26"/>
      <c r="I22" s="72"/>
      <c r="J22" s="72"/>
      <c r="K22" s="72"/>
      <c r="L22" s="72"/>
      <c r="M22" s="26"/>
    </row>
    <row r="23" spans="1:13" s="6" customFormat="1" ht="25.5" customHeight="1">
      <c r="A23" s="73" t="s">
        <v>89</v>
      </c>
      <c r="B23" s="73" t="s">
        <v>90</v>
      </c>
      <c r="C23" s="74"/>
      <c r="D23" s="74"/>
      <c r="E23" s="74"/>
      <c r="F23" s="74"/>
      <c r="G23" s="74"/>
      <c r="H23" s="74"/>
      <c r="I23" s="74"/>
      <c r="J23" s="74"/>
      <c r="K23" s="74"/>
      <c r="L23" s="74"/>
      <c r="M23" s="74"/>
    </row>
    <row r="24" spans="1:13" s="37" customFormat="1" ht="15.75">
      <c r="A24" s="75" t="s">
        <v>91</v>
      </c>
      <c r="B24" s="76" t="s">
        <v>92</v>
      </c>
      <c r="C24" s="30" t="s">
        <v>93</v>
      </c>
      <c r="D24" s="30" t="s">
        <v>94</v>
      </c>
      <c r="E24" s="30" t="s">
        <v>95</v>
      </c>
      <c r="F24" s="30" t="s">
        <v>56</v>
      </c>
      <c r="G24" s="77" t="s">
        <v>93</v>
      </c>
      <c r="H24" s="34" t="s">
        <v>93</v>
      </c>
      <c r="I24" s="34" t="s">
        <v>93</v>
      </c>
      <c r="J24" s="34" t="s">
        <v>93</v>
      </c>
      <c r="K24" s="34" t="s">
        <v>93</v>
      </c>
      <c r="L24" s="34" t="s">
        <v>93</v>
      </c>
      <c r="M24" s="78"/>
    </row>
    <row r="25" spans="1:13" s="37" customFormat="1" ht="15.75">
      <c r="A25" s="75" t="s">
        <v>96</v>
      </c>
      <c r="B25" s="76" t="s">
        <v>97</v>
      </c>
      <c r="C25" s="30" t="s">
        <v>54</v>
      </c>
      <c r="D25" s="30" t="s">
        <v>98</v>
      </c>
      <c r="E25" s="30" t="s">
        <v>95</v>
      </c>
      <c r="F25" s="30" t="s">
        <v>56</v>
      </c>
      <c r="G25" s="35" t="s">
        <v>99</v>
      </c>
      <c r="H25" s="36" t="s">
        <v>100</v>
      </c>
      <c r="I25" s="36" t="s">
        <v>101</v>
      </c>
      <c r="J25" s="79" t="s">
        <v>102</v>
      </c>
      <c r="K25" s="36" t="s">
        <v>103</v>
      </c>
      <c r="L25" s="36" t="s">
        <v>104</v>
      </c>
      <c r="M25" s="36" t="s">
        <v>105</v>
      </c>
    </row>
    <row r="26" spans="1:13" s="37" customFormat="1" ht="15.75">
      <c r="A26" s="75" t="s">
        <v>106</v>
      </c>
      <c r="B26" s="76" t="s">
        <v>107</v>
      </c>
      <c r="C26" s="30" t="s">
        <v>108</v>
      </c>
      <c r="D26" s="30" t="s">
        <v>109</v>
      </c>
      <c r="E26" s="30" t="s">
        <v>95</v>
      </c>
      <c r="F26" s="30" t="s">
        <v>56</v>
      </c>
      <c r="G26" s="36" t="s">
        <v>109</v>
      </c>
      <c r="H26" s="36" t="s">
        <v>109</v>
      </c>
      <c r="I26" s="36" t="s">
        <v>110</v>
      </c>
      <c r="J26" s="36" t="s">
        <v>110</v>
      </c>
      <c r="K26" s="36" t="s">
        <v>109</v>
      </c>
      <c r="L26" s="36" t="s">
        <v>109</v>
      </c>
      <c r="M26" s="36" t="s">
        <v>110</v>
      </c>
    </row>
    <row r="27" spans="1:13" s="37" customFormat="1" ht="15.75">
      <c r="A27" s="75" t="s">
        <v>111</v>
      </c>
      <c r="B27" s="76" t="s">
        <v>112</v>
      </c>
      <c r="C27" s="30" t="s">
        <v>108</v>
      </c>
      <c r="D27" s="30" t="s">
        <v>113</v>
      </c>
      <c r="E27" s="30" t="s">
        <v>95</v>
      </c>
      <c r="F27" s="30" t="s">
        <v>56</v>
      </c>
      <c r="G27" s="36" t="s">
        <v>113</v>
      </c>
      <c r="H27" s="36" t="s">
        <v>113</v>
      </c>
      <c r="I27" s="36" t="s">
        <v>114</v>
      </c>
      <c r="J27" s="36" t="s">
        <v>114</v>
      </c>
      <c r="K27" s="36" t="s">
        <v>113</v>
      </c>
      <c r="L27" s="36" t="s">
        <v>113</v>
      </c>
      <c r="M27" s="36" t="s">
        <v>114</v>
      </c>
    </row>
    <row r="28" spans="1:13" s="25" customFormat="1" ht="15.75">
      <c r="A28" s="80" t="s">
        <v>115</v>
      </c>
      <c r="B28" s="51" t="s">
        <v>116</v>
      </c>
      <c r="C28" s="23" t="s">
        <v>54</v>
      </c>
      <c r="D28" s="23" t="s">
        <v>117</v>
      </c>
      <c r="E28" s="23" t="s">
        <v>34</v>
      </c>
      <c r="F28" s="23" t="s">
        <v>56</v>
      </c>
      <c r="G28" s="24" t="s">
        <v>118</v>
      </c>
      <c r="H28" s="25" t="s">
        <v>119</v>
      </c>
      <c r="I28" s="25" t="s">
        <v>120</v>
      </c>
      <c r="J28" s="25" t="s">
        <v>121</v>
      </c>
      <c r="K28" s="25" t="s">
        <v>122</v>
      </c>
      <c r="L28" s="25" t="s">
        <v>123</v>
      </c>
      <c r="M28" s="25" t="s">
        <v>124</v>
      </c>
    </row>
    <row r="29" spans="1:13" s="53" customFormat="1" ht="7.5" customHeight="1">
      <c r="A29" s="29"/>
      <c r="B29" s="26"/>
      <c r="C29" s="26"/>
      <c r="D29" s="27"/>
      <c r="E29" s="26"/>
      <c r="F29" s="26"/>
      <c r="G29" s="72"/>
      <c r="H29" s="26"/>
      <c r="I29" s="72"/>
      <c r="J29" s="72"/>
      <c r="K29" s="72"/>
      <c r="L29" s="72"/>
      <c r="M29" s="26"/>
    </row>
    <row r="30" spans="1:13" ht="15.75">
      <c r="A30" s="81"/>
      <c r="B30" s="82" t="s">
        <v>125</v>
      </c>
      <c r="C30" s="35"/>
      <c r="D30" s="49"/>
      <c r="E30" s="35"/>
      <c r="F30" s="35"/>
      <c r="G30" s="81"/>
      <c r="H30" s="35"/>
      <c r="I30" s="81"/>
      <c r="J30" s="81"/>
      <c r="K30" s="81"/>
      <c r="L30" s="81"/>
      <c r="M30" s="35"/>
    </row>
    <row r="31" spans="1:13" ht="377.25" customHeight="1">
      <c r="B31" s="4" t="s">
        <v>126</v>
      </c>
      <c r="G31" s="4" t="s">
        <v>127</v>
      </c>
      <c r="H31" s="4" t="s">
        <v>128</v>
      </c>
      <c r="I31" s="4" t="s">
        <v>129</v>
      </c>
      <c r="J31" s="4" t="s">
        <v>130</v>
      </c>
      <c r="K31" s="4" t="s">
        <v>131</v>
      </c>
      <c r="L31" s="4" t="s">
        <v>132</v>
      </c>
      <c r="M31" s="4" t="s">
        <v>133</v>
      </c>
    </row>
    <row r="34" spans="15:15">
      <c r="O34" s="4" t="s">
        <v>134</v>
      </c>
    </row>
  </sheetData>
  <dataValidations count="1">
    <dataValidation allowBlank="1" showInputMessage="1" showErrorMessage="1" sqref="A30 G18:M30" xr:uid="{36D29FF5-C23C-4CF3-B4D4-84B0A02428CC}"/>
  </dataValidations>
  <hyperlinks>
    <hyperlink ref="G24" r:id="rId1" location="no_availability_msg" xr:uid="{CCEE3780-56AE-4D49-956A-A1229357E9BB}"/>
    <hyperlink ref="H24" r:id="rId2" xr:uid="{3F0CF018-5E4C-48E9-9405-230813CB3C49}"/>
    <hyperlink ref="I24" r:id="rId3" xr:uid="{E7A94A06-61D7-499D-87CF-7F8442279EFC}"/>
    <hyperlink ref="J24" r:id="rId4" xr:uid="{38F35420-449D-4BA0-8B2F-7198746803CC}"/>
    <hyperlink ref="K24" r:id="rId5" xr:uid="{FF37D2A6-5D8B-4CA0-ABAF-4C7A02AB89E7}"/>
    <hyperlink ref="L24" r:id="rId6" xr:uid="{D2ED000C-6187-4B53-9BB7-26A9540D7EA3}"/>
  </hyperlinks>
  <pageMargins left="0.7" right="0.7" top="0.75" bottom="0.75" header="0.3" footer="0.3"/>
  <legacy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AB5A-562E-47C0-BE27-DA7F1EBD933B}">
  <dimension ref="A1:K14"/>
  <sheetViews>
    <sheetView tabSelected="1" workbookViewId="0">
      <selection activeCell="C31" sqref="C31"/>
    </sheetView>
  </sheetViews>
  <sheetFormatPr defaultRowHeight="15"/>
  <cols>
    <col min="1" max="1" width="36.5703125" style="2" bestFit="1" customWidth="1"/>
    <col min="2" max="8" width="22.7109375" style="2" customWidth="1"/>
    <col min="9" max="16384" width="9.140625" style="2"/>
  </cols>
  <sheetData>
    <row r="1" spans="1:11" s="11" customFormat="1" ht="21">
      <c r="A1" s="46" t="s">
        <v>135</v>
      </c>
      <c r="B1" s="46" t="s">
        <v>12</v>
      </c>
      <c r="C1" s="46" t="s">
        <v>13</v>
      </c>
      <c r="D1" s="46" t="s">
        <v>14</v>
      </c>
      <c r="E1" s="46" t="s">
        <v>15</v>
      </c>
      <c r="F1" s="46" t="s">
        <v>16</v>
      </c>
      <c r="G1" s="46" t="s">
        <v>17</v>
      </c>
      <c r="H1" s="46" t="s">
        <v>18</v>
      </c>
      <c r="I1" s="52"/>
      <c r="J1" s="52"/>
      <c r="K1" s="52"/>
    </row>
    <row r="2" spans="1:11">
      <c r="A2" s="12" t="s">
        <v>22</v>
      </c>
      <c r="B2" s="13" t="s">
        <v>136</v>
      </c>
      <c r="C2" s="14" t="s">
        <v>137</v>
      </c>
      <c r="D2" s="13" t="s">
        <v>136</v>
      </c>
      <c r="E2" s="13" t="s">
        <v>136</v>
      </c>
      <c r="F2" s="13" t="s">
        <v>136</v>
      </c>
      <c r="G2" s="13" t="s">
        <v>136</v>
      </c>
      <c r="H2" s="13" t="s">
        <v>136</v>
      </c>
    </row>
    <row r="3" spans="1:11">
      <c r="A3" s="15" t="s">
        <v>32</v>
      </c>
      <c r="B3" s="16">
        <v>60</v>
      </c>
      <c r="C3" s="16">
        <v>60</v>
      </c>
      <c r="D3" s="16">
        <v>60</v>
      </c>
      <c r="E3" s="16">
        <v>90</v>
      </c>
      <c r="F3" s="16">
        <v>15</v>
      </c>
      <c r="G3" s="16">
        <v>30</v>
      </c>
      <c r="H3" s="16">
        <v>40</v>
      </c>
    </row>
    <row r="4" spans="1:11">
      <c r="A4" s="15" t="s">
        <v>37</v>
      </c>
      <c r="B4" s="16">
        <v>180</v>
      </c>
      <c r="C4" s="16">
        <v>210</v>
      </c>
      <c r="D4" s="17">
        <v>240</v>
      </c>
      <c r="E4" s="16">
        <v>420</v>
      </c>
      <c r="F4" s="16">
        <v>120</v>
      </c>
      <c r="G4" s="16">
        <v>150</v>
      </c>
      <c r="H4" s="16">
        <v>180</v>
      </c>
    </row>
    <row r="5" spans="1:11">
      <c r="A5" s="15" t="s">
        <v>40</v>
      </c>
      <c r="B5" s="16">
        <v>150</v>
      </c>
      <c r="C5" s="16">
        <v>150</v>
      </c>
      <c r="D5" s="17">
        <v>240</v>
      </c>
      <c r="E5" s="16">
        <v>250</v>
      </c>
      <c r="F5" s="16">
        <v>120</v>
      </c>
      <c r="G5" s="16">
        <v>80</v>
      </c>
      <c r="H5" s="16">
        <v>180</v>
      </c>
    </row>
    <row r="6" spans="1:11" ht="29.25">
      <c r="A6" s="18" t="s">
        <v>138</v>
      </c>
      <c r="B6" s="16">
        <v>162</v>
      </c>
      <c r="C6" s="16">
        <v>207</v>
      </c>
      <c r="D6" s="16">
        <v>271</v>
      </c>
      <c r="E6" s="16">
        <v>296</v>
      </c>
      <c r="F6" s="16">
        <v>153</v>
      </c>
      <c r="G6" s="16">
        <v>85</v>
      </c>
      <c r="H6" s="16">
        <v>184</v>
      </c>
    </row>
    <row r="7" spans="1:11" ht="29.25">
      <c r="A7" s="18" t="s">
        <v>49</v>
      </c>
      <c r="B7" s="16">
        <f>SUM(B6-B5)</f>
        <v>12</v>
      </c>
      <c r="C7" s="16">
        <f>SUM(C6-C5)</f>
        <v>57</v>
      </c>
      <c r="D7" s="16">
        <f>SUM(D6-D5)</f>
        <v>31</v>
      </c>
      <c r="E7" s="16">
        <f>SUM(E6-E5)</f>
        <v>46</v>
      </c>
      <c r="F7" s="16">
        <f>SUM(F6-F5)</f>
        <v>33</v>
      </c>
      <c r="G7" s="16">
        <f>SUM(G6-G5)</f>
        <v>5</v>
      </c>
      <c r="H7" s="16">
        <f>SUM(H6-H5)</f>
        <v>4</v>
      </c>
    </row>
    <row r="8" spans="1:11" ht="57.75">
      <c r="A8" s="18" t="s">
        <v>53</v>
      </c>
      <c r="B8" s="83" t="s">
        <v>57</v>
      </c>
      <c r="C8" s="83" t="s">
        <v>58</v>
      </c>
      <c r="D8" s="83" t="s">
        <v>59</v>
      </c>
      <c r="E8" s="83" t="s">
        <v>60</v>
      </c>
      <c r="F8" s="83" t="s">
        <v>60</v>
      </c>
      <c r="G8" s="83" t="s">
        <v>59</v>
      </c>
      <c r="H8" s="83" t="s">
        <v>61</v>
      </c>
    </row>
    <row r="9" spans="1:11" s="3" customFormat="1" ht="43.5">
      <c r="A9" s="18" t="s">
        <v>84</v>
      </c>
      <c r="B9" s="84" t="s">
        <v>87</v>
      </c>
      <c r="C9" s="17" t="s">
        <v>88</v>
      </c>
      <c r="D9" s="84" t="s">
        <v>87</v>
      </c>
      <c r="E9" s="84" t="s">
        <v>87</v>
      </c>
      <c r="F9" s="84" t="s">
        <v>87</v>
      </c>
      <c r="G9" s="84" t="s">
        <v>87</v>
      </c>
      <c r="H9" s="17" t="s">
        <v>88</v>
      </c>
    </row>
    <row r="10" spans="1:11">
      <c r="A10" s="15" t="s">
        <v>65</v>
      </c>
      <c r="B10" s="19">
        <v>1.2152777777777778E-3</v>
      </c>
      <c r="C10" s="19">
        <v>1.9097222222222222E-3</v>
      </c>
      <c r="D10" s="19">
        <v>6.3657407407407413E-4</v>
      </c>
      <c r="E10" s="19">
        <v>1.9675925925925924E-3</v>
      </c>
      <c r="F10" s="19">
        <v>1.3888888888888889E-3</v>
      </c>
      <c r="G10" s="19">
        <v>1.8518518518518519E-3</v>
      </c>
      <c r="H10" s="19">
        <v>1.8518518518518519E-3</v>
      </c>
    </row>
    <row r="11" spans="1:11">
      <c r="A11" s="15" t="s">
        <v>68</v>
      </c>
      <c r="B11" s="19">
        <v>1.0972222222222222E-2</v>
      </c>
      <c r="C11" s="19">
        <v>2.3090277777777779E-2</v>
      </c>
      <c r="D11" s="19">
        <v>1.3402777777777777E-2</v>
      </c>
      <c r="E11" s="19">
        <v>1.7534722222222222E-2</v>
      </c>
      <c r="F11" s="19">
        <v>7.6041666666666671E-3</v>
      </c>
      <c r="G11" s="19">
        <v>1.6319444444444445E-2</v>
      </c>
      <c r="H11" s="19">
        <v>1.5162037037037036E-2</v>
      </c>
    </row>
    <row r="12" spans="1:11">
      <c r="A12" s="15" t="s">
        <v>70</v>
      </c>
      <c r="B12" s="19">
        <f>SUM(B11-B10)</f>
        <v>9.7569444444444431E-3</v>
      </c>
      <c r="C12" s="19">
        <f>SUM(C11-C10)</f>
        <v>2.1180555555555557E-2</v>
      </c>
      <c r="D12" s="19">
        <f>SUM(D11-D10)</f>
        <v>1.2766203703703703E-2</v>
      </c>
      <c r="E12" s="19">
        <f>SUM(E11-E10)</f>
        <v>1.556712962962963E-2</v>
      </c>
      <c r="F12" s="19">
        <f>SUM(F11-F10)</f>
        <v>6.2152777777777779E-3</v>
      </c>
      <c r="G12" s="19">
        <f>SUM(G11-G10)</f>
        <v>1.4467592592592594E-2</v>
      </c>
      <c r="H12" s="19">
        <f>SUM(H11-H10)</f>
        <v>1.3310185185185185E-2</v>
      </c>
    </row>
    <row r="13" spans="1:11">
      <c r="A13" s="15" t="s">
        <v>73</v>
      </c>
      <c r="B13" s="16">
        <v>2</v>
      </c>
      <c r="C13" s="16">
        <v>7</v>
      </c>
      <c r="D13" s="16">
        <v>4</v>
      </c>
      <c r="E13" s="16">
        <v>6</v>
      </c>
      <c r="F13" s="16">
        <v>4</v>
      </c>
      <c r="G13" s="16">
        <v>3</v>
      </c>
      <c r="H13" s="16">
        <v>5</v>
      </c>
    </row>
    <row r="14" spans="1:11">
      <c r="A14" s="20" t="s">
        <v>75</v>
      </c>
      <c r="B14" s="85">
        <v>32</v>
      </c>
      <c r="C14" s="85">
        <v>85</v>
      </c>
      <c r="D14" s="85">
        <v>32</v>
      </c>
      <c r="E14" s="85">
        <v>25</v>
      </c>
      <c r="F14" s="85">
        <v>38</v>
      </c>
      <c r="G14" s="85">
        <v>30</v>
      </c>
      <c r="H14" s="85">
        <v>57</v>
      </c>
    </row>
  </sheetData>
  <dataValidations count="1">
    <dataValidation allowBlank="1" showInputMessage="1" showErrorMessage="1" sqref="B12:H14 B9:H9" xr:uid="{1C84EEC9-E93E-4E09-90CE-219E5952F1EE}"/>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2025-11-13T09:58:06Z</dcterms:created>
  <dcterms:modified xsi:type="dcterms:W3CDTF">2026-01-10T12:53:58Z</dcterms:modified>
  <cp:category/>
  <cp:contentStatus/>
</cp:coreProperties>
</file>